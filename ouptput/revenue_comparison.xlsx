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chr\OneDrive\Documents\Career\RIAA\"/>
    </mc:Choice>
  </mc:AlternateContent>
  <xr:revisionPtr revIDLastSave="0" documentId="13_ncr:9_{1D4E88C6-C272-4D88-BD1F-6D5EE88D307D}" xr6:coauthVersionLast="47" xr6:coauthVersionMax="47" xr10:uidLastSave="{00000000-0000-0000-0000-000000000000}"/>
  <bookViews>
    <workbookView xWindow="-108" yWindow="-108" windowWidth="23256" windowHeight="12456" activeTab="1" xr2:uid="{4139C12F-E958-4846-B0A3-98333BB31B6C}"/>
  </bookViews>
  <sheets>
    <sheet name="physica;" sheetId="3" r:id="rId1"/>
    <sheet name="Sheet3" sheetId="4" r:id="rId2"/>
    <sheet name="df_export" sheetId="1" r:id="rId3"/>
  </sheets>
  <definedNames>
    <definedName name="_xlnm._FilterDatabase" localSheetId="2" hidden="1">df_export!$A$1:$M$524</definedName>
  </definedNames>
  <calcPr calcId="0"/>
  <pivotCaches>
    <pivotCache cacheId="15" r:id="rId4"/>
    <pivotCache cacheId="25" r:id="rId5"/>
  </pivotCaches>
</workbook>
</file>

<file path=xl/calcChain.xml><?xml version="1.0" encoding="utf-8"?>
<calcChain xmlns="http://schemas.openxmlformats.org/spreadsheetml/2006/main">
  <c r="G14" i="4" l="1"/>
  <c r="G12" i="4"/>
  <c r="G11" i="4"/>
  <c r="G9" i="4"/>
  <c r="H9" i="4" s="1"/>
  <c r="G8" i="4"/>
  <c r="G5" i="4"/>
  <c r="G6" i="4"/>
  <c r="I7" i="3"/>
  <c r="I6" i="3"/>
  <c r="I5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1" i="1"/>
  <c r="L374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90" i="1"/>
  <c r="L393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9" i="1"/>
  <c r="L412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8" i="1"/>
  <c r="L431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7" i="1"/>
  <c r="L450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6" i="1"/>
  <c r="L469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5" i="1"/>
  <c r="L488" i="1"/>
  <c r="L490" i="1"/>
  <c r="L491" i="1"/>
  <c r="L492" i="1"/>
  <c r="L493" i="1"/>
  <c r="L494" i="1"/>
  <c r="L495" i="1"/>
  <c r="L496" i="1"/>
  <c r="L497" i="1"/>
  <c r="L498" i="1"/>
  <c r="L500" i="1"/>
  <c r="L503" i="1"/>
  <c r="L504" i="1"/>
  <c r="L506" i="1"/>
  <c r="L507" i="1"/>
  <c r="L508" i="1"/>
  <c r="L509" i="1"/>
  <c r="L510" i="1"/>
  <c r="L511" i="1"/>
  <c r="L512" i="1"/>
  <c r="L513" i="1"/>
  <c r="L515" i="1"/>
  <c r="L518" i="1"/>
  <c r="L519" i="1"/>
  <c r="L521" i="1"/>
  <c r="L522" i="1"/>
  <c r="L523" i="1"/>
  <c r="L524" i="1"/>
  <c r="L2" i="1"/>
</calcChain>
</file>

<file path=xl/sharedStrings.xml><?xml version="1.0" encoding="utf-8"?>
<sst xmlns="http://schemas.openxmlformats.org/spreadsheetml/2006/main" count="1186" uniqueCount="50">
  <si>
    <t>index</t>
  </si>
  <si>
    <t>Year</t>
  </si>
  <si>
    <t>Format</t>
  </si>
  <si>
    <t>Units(M)</t>
  </si>
  <si>
    <t>Revenue(M)</t>
  </si>
  <si>
    <t>Revenue(B)</t>
  </si>
  <si>
    <t>Revenue_per_unit</t>
  </si>
  <si>
    <t>Revenue</t>
  </si>
  <si>
    <t>Units</t>
  </si>
  <si>
    <t>media</t>
  </si>
  <si>
    <t>8 - Track</t>
  </si>
  <si>
    <t>Physical</t>
  </si>
  <si>
    <t>Cassette</t>
  </si>
  <si>
    <t>LP/EP</t>
  </si>
  <si>
    <t>Other Tapes</t>
  </si>
  <si>
    <t>Vinyl Single</t>
  </si>
  <si>
    <t>CD</t>
  </si>
  <si>
    <t>Cassette Single</t>
  </si>
  <si>
    <t>CD Single</t>
  </si>
  <si>
    <t>Music Video (Physical)</t>
  </si>
  <si>
    <t>DVD Audio</t>
  </si>
  <si>
    <t>SACD</t>
  </si>
  <si>
    <t>Download Album</t>
  </si>
  <si>
    <t>Other</t>
  </si>
  <si>
    <t>Download Single</t>
  </si>
  <si>
    <t>SoundExchange Distributions</t>
  </si>
  <si>
    <t>Download Music Video</t>
  </si>
  <si>
    <t>Kiosk</t>
  </si>
  <si>
    <t>Paid Subscription</t>
  </si>
  <si>
    <t>Streaming</t>
  </si>
  <si>
    <t>Ringtones &amp; Ringbacks</t>
  </si>
  <si>
    <t>Synchronization</t>
  </si>
  <si>
    <t>On-Demand Streaming (Ad-Supported)</t>
  </si>
  <si>
    <t>Limited Tier Paid Subscription</t>
  </si>
  <si>
    <t>Other Ad-Supported Streaming</t>
  </si>
  <si>
    <t>Other Digital</t>
  </si>
  <si>
    <t>Other Physical</t>
  </si>
  <si>
    <t>Column Labels</t>
  </si>
  <si>
    <t>(blank)</t>
  </si>
  <si>
    <t>Grand Total</t>
  </si>
  <si>
    <t>Sum of Revenue</t>
  </si>
  <si>
    <t>Row Labels</t>
  </si>
  <si>
    <t>Format2</t>
  </si>
  <si>
    <t>All Streaming</t>
  </si>
  <si>
    <t>Format3</t>
  </si>
  <si>
    <t>Other Streaming</t>
  </si>
  <si>
    <t>Sum of Revenue(M)</t>
  </si>
  <si>
    <t>before</t>
  </si>
  <si>
    <t>after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</si>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</sst>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0" borderId="0" xfId="0" pivotButton="1"/>
    <xf numFmtId="0" fontId="16" fillId="33" borderId="10" xfId="0" applyFont="1" applyFill="1" applyBorder="1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4" fontId="0" fillId="0" borderId="11" xfId="0" applyNumberFormat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Physical vs. Streaming  Revenu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'physica;'!$G$4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3333CC"/>
            </a:solidFill>
            <a:ln>
              <a:noFill/>
            </a:ln>
            <a:effectLst/>
          </c:spPr>
          <c:invertIfNegative val="0"/>
          <c:cat>
            <c:strRef>
              <c:f>'physica;'!$F$5:$F$7</c:f>
              <c:strCache>
                <c:ptCount val="3"/>
                <c:pt idx="0">
                  <c:v>CD</c:v>
                </c:pt>
                <c:pt idx="1">
                  <c:v>LP/EP</c:v>
                </c:pt>
                <c:pt idx="2">
                  <c:v>All Streaming</c:v>
                </c:pt>
              </c:strCache>
            </c:strRef>
          </c:cat>
          <c:val>
            <c:numRef>
              <c:f>'physica;'!$G$5:$G$7</c:f>
              <c:numCache>
                <c:formatCode>General</c:formatCode>
                <c:ptCount val="3"/>
                <c:pt idx="0">
                  <c:v>541.10120400300002</c:v>
                </c:pt>
                <c:pt idx="1">
                  <c:v>1442.9031221339999</c:v>
                </c:pt>
                <c:pt idx="2">
                  <c:v>13823.68639932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E-480D-8EA3-5F4C48496B3A}"/>
            </c:ext>
          </c:extLst>
        </c:ser>
        <c:ser>
          <c:idx val="1"/>
          <c:order val="1"/>
          <c:tx>
            <c:strRef>
              <c:f>'physica;'!$H$4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'physica;'!$F$5:$F$7</c:f>
              <c:strCache>
                <c:ptCount val="3"/>
                <c:pt idx="0">
                  <c:v>CD</c:v>
                </c:pt>
                <c:pt idx="1">
                  <c:v>LP/EP</c:v>
                </c:pt>
                <c:pt idx="2">
                  <c:v>All Streaming</c:v>
                </c:pt>
              </c:strCache>
            </c:strRef>
          </c:cat>
          <c:val>
            <c:numRef>
              <c:f>'physica;'!$H$5:$H$7</c:f>
              <c:numCache>
                <c:formatCode>General</c:formatCode>
                <c:ptCount val="3"/>
                <c:pt idx="0">
                  <c:v>781.16979160699998</c:v>
                </c:pt>
                <c:pt idx="1">
                  <c:v>632.48028503800003</c:v>
                </c:pt>
                <c:pt idx="2">
                  <c:v>9720.9624589110008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1E-480D-8EA3-5F4C48496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56073376"/>
        <c:axId val="1623374640"/>
      </c:barChart>
      <c:catAx>
        <c:axId val="55607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374640"/>
        <c:crosses val="autoZero"/>
        <c:auto val="1"/>
        <c:lblAlgn val="ctr"/>
        <c:lblOffset val="100"/>
        <c:noMultiLvlLbl val="0"/>
      </c:catAx>
      <c:valAx>
        <c:axId val="162337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07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9</xdr:row>
      <xdr:rowOff>148590</xdr:rowOff>
    </xdr:from>
    <xdr:to>
      <xdr:col>9</xdr:col>
      <xdr:colOff>693420</xdr:colOff>
      <xdr:row>22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0ADCA0-078A-4385-CADC-AA1047472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emy Schroeder" refreshedDate="46034.440340162037" createdVersion="8" refreshedVersion="8" minRefreshableVersion="3" recordCount="524" xr:uid="{52F45F3F-2530-4175-85B3-4AA37246C4FC}">
  <cacheSource type="worksheet">
    <worksheetSource ref="B1:L1048576" sheet="df_export"/>
  </cacheSource>
  <cacheFields count="11">
    <cacheField name="index" numFmtId="0">
      <sharedItems containsString="0" containsBlank="1" containsNumber="1" containsInteger="1" minValue="0" maxValue="522"/>
    </cacheField>
    <cacheField name="Year" numFmtId="0">
      <sharedItems containsString="0" containsBlank="1" containsNumber="1" containsInteger="1" minValue="1973" maxValue="2024" count="53"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Format" numFmtId="0">
      <sharedItems containsBlank="1"/>
    </cacheField>
    <cacheField name="Units(M)" numFmtId="0">
      <sharedItems containsString="0" containsBlank="1" containsNumber="1" minValue="-1.5" maxValue="1402.739373351"/>
    </cacheField>
    <cacheField name="Revenue(M)" numFmtId="0">
      <sharedItems containsString="0" containsBlank="1" containsNumber="1" minValue="1.9742926000000001E-2" maxValue="24131.646642856998"/>
    </cacheField>
    <cacheField name="Revenue(B)" numFmtId="0">
      <sharedItems containsString="0" containsBlank="1" containsNumber="1" minValue="1.9742926000000001E-5" maxValue="24.131646642857"/>
    </cacheField>
    <cacheField name="Revenue_per_unit" numFmtId="0">
      <sharedItems containsString="0" containsBlank="1" containsNumber="1" minValue="1.3036147096509201" maxValue="67.713990963749893"/>
    </cacheField>
    <cacheField name="Revenue" numFmtId="0">
      <sharedItems containsString="0" containsBlank="1" containsNumber="1" minValue="1.9742926000000001E-2" maxValue="24131.646642856998"/>
    </cacheField>
    <cacheField name="Units" numFmtId="0">
      <sharedItems containsString="0" containsBlank="1" containsNumber="1" minValue="-1.5" maxValue="1402.739373351"/>
    </cacheField>
    <cacheField name="media" numFmtId="0">
      <sharedItems containsBlank="1"/>
    </cacheField>
    <cacheField name="Format2" numFmtId="0">
      <sharedItems containsBlank="1" count="24">
        <s v="8 - Track"/>
        <s v="Cassette"/>
        <s v="LP/EP"/>
        <s v="Other Tapes"/>
        <s v="Vinyl Single"/>
        <s v="CD"/>
        <s v="Cassette Single"/>
        <s v="CD Single"/>
        <s v="Music Video (Physical)"/>
        <s v="DVD Audio"/>
        <s v="SACD"/>
        <s v="Download Album"/>
        <s v="Download Single"/>
        <s v="SoundExchange Distributions"/>
        <s v="Download Music Video"/>
        <s v="Kiosk"/>
        <s v="Streaming"/>
        <s v="Ringtones &amp; Ringbacks"/>
        <s v="Synchronization"/>
        <s v="Other Digital"/>
        <s v="Other Physical"/>
        <m/>
        <s v="Paid Subscription" u="1"/>
        <s v="Limited Tier Paid Subscrip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emy Schroeder" refreshedDate="46034.47824895833" createdVersion="8" refreshedVersion="8" minRefreshableVersion="3" recordCount="524" xr:uid="{04AE3612-27C1-4D47-91A7-6C8FE872870F}">
  <cacheSource type="worksheet">
    <worksheetSource ref="C1:M1048576" sheet="df_export"/>
  </cacheSource>
  <cacheFields count="11">
    <cacheField name="Year" numFmtId="0">
      <sharedItems containsString="0" containsBlank="1" containsNumber="1" containsInteger="1" minValue="1973" maxValue="2024" count="53"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Format" numFmtId="0">
      <sharedItems containsBlank="1"/>
    </cacheField>
    <cacheField name="Units(M)" numFmtId="0">
      <sharedItems containsString="0" containsBlank="1" containsNumber="1" minValue="-1.5" maxValue="1402.739373351"/>
    </cacheField>
    <cacheField name="Revenue(M)" numFmtId="0">
      <sharedItems containsString="0" containsBlank="1" containsNumber="1" minValue="1.9742926000000001E-2" maxValue="24131.646642856998"/>
    </cacheField>
    <cacheField name="Revenue(B)" numFmtId="0">
      <sharedItems containsString="0" containsBlank="1" containsNumber="1" minValue="1.9742926000000001E-5" maxValue="24.131646642857"/>
    </cacheField>
    <cacheField name="Revenue_per_unit" numFmtId="0">
      <sharedItems containsString="0" containsBlank="1" containsNumber="1" minValue="1.3036147096509201" maxValue="67.713990963749893"/>
    </cacheField>
    <cacheField name="Revenue" numFmtId="0">
      <sharedItems containsString="0" containsBlank="1" containsNumber="1" minValue="1.9742926000000001E-2" maxValue="24131.646642856998"/>
    </cacheField>
    <cacheField name="Units" numFmtId="0">
      <sharedItems containsString="0" containsBlank="1" containsNumber="1" minValue="-1.5" maxValue="1402.739373351"/>
    </cacheField>
    <cacheField name="media" numFmtId="0">
      <sharedItems containsBlank="1"/>
    </cacheField>
    <cacheField name="Format2" numFmtId="0">
      <sharedItems containsBlank="1"/>
    </cacheField>
    <cacheField name="Format3" numFmtId="0">
      <sharedItems containsBlank="1" count="3">
        <m/>
        <s v="Paid Subscription"/>
        <s v="Other Stream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n v="0"/>
    <x v="0"/>
    <s v="8 - Track"/>
    <n v="91"/>
    <n v="3454.8180405409998"/>
    <n v="3.4548180405409998"/>
    <n v="37.965033412538403"/>
    <n v="3454.8180405409998"/>
    <n v="91"/>
    <s v="Physical"/>
    <x v="0"/>
  </r>
  <r>
    <n v="1"/>
    <x v="0"/>
    <s v="Cassette"/>
    <n v="15"/>
    <n v="536.94513513499999"/>
    <n v="0.53694513513499997"/>
    <n v="35.796342342333297"/>
    <n v="536.94513513499999"/>
    <n v="15"/>
    <s v="Physical"/>
    <x v="1"/>
  </r>
  <r>
    <n v="2"/>
    <x v="0"/>
    <s v="LP/EP"/>
    <n v="280"/>
    <n v="8803.0741891889993"/>
    <n v="8.8030741891889992"/>
    <n v="31.439550675674901"/>
    <n v="8803.0741891889993"/>
    <n v="280"/>
    <s v="Physical"/>
    <x v="2"/>
  </r>
  <r>
    <n v="3"/>
    <x v="0"/>
    <s v="Other Tapes"/>
    <n v="2.2000000000000002"/>
    <n v="110.21505405400001"/>
    <n v="0.11021505405400001"/>
    <n v="50.097751842727199"/>
    <n v="110.21505405400001"/>
    <n v="2.2000000000000002"/>
    <s v="Physical"/>
    <x v="3"/>
  </r>
  <r>
    <n v="4"/>
    <x v="0"/>
    <s v="Vinyl Single"/>
    <n v="228"/>
    <n v="1342.3628378379999"/>
    <n v="1.3423628378379999"/>
    <n v="5.88755630630701"/>
    <n v="1342.3628378379999"/>
    <n v="228"/>
    <s v="Physical"/>
    <x v="4"/>
  </r>
  <r>
    <n v="5"/>
    <x v="1"/>
    <s v="8 - Track"/>
    <n v="96.7"/>
    <n v="3494.4827342799999"/>
    <n v="3.49448273428"/>
    <n v="36.137360230403303"/>
    <n v="3494.4827342799999"/>
    <n v="96.7"/>
    <s v="Physical"/>
    <x v="0"/>
  </r>
  <r>
    <n v="6"/>
    <x v="1"/>
    <s v="Cassette"/>
    <n v="15.3"/>
    <n v="554.84139553800003"/>
    <n v="0.55484139553800005"/>
    <n v="36.264143499215599"/>
    <n v="554.84139553800003"/>
    <n v="15.3"/>
    <s v="Physical"/>
    <x v="1"/>
  </r>
  <r>
    <n v="7"/>
    <x v="1"/>
    <s v="LP/EP"/>
    <n v="276"/>
    <n v="8628.0382150099995"/>
    <n v="8.6280382150099992"/>
    <n v="31.2610080253985"/>
    <n v="8628.0382150099995"/>
    <n v="276"/>
    <s v="Physical"/>
    <x v="2"/>
  </r>
  <r>
    <n v="8"/>
    <x v="1"/>
    <s v="Other Tapes"/>
    <n v="1.9"/>
    <n v="84.626038539999996"/>
    <n v="8.4626038540000004E-2"/>
    <n v="44.540020284210499"/>
    <n v="84.626038539999996"/>
    <n v="1.9"/>
    <s v="Physical"/>
    <x v="3"/>
  </r>
  <r>
    <n v="9"/>
    <x v="1"/>
    <s v="Vinyl Single"/>
    <n v="204"/>
    <n v="1234.3948478699999"/>
    <n v="1.23439484787"/>
    <n v="6.05095513661764"/>
    <n v="1234.3948478699999"/>
    <n v="204"/>
    <s v="Physical"/>
    <x v="4"/>
  </r>
  <r>
    <n v="10"/>
    <x v="2"/>
    <s v="8 - Track"/>
    <n v="94.6"/>
    <n v="3399.269275093"/>
    <n v="3.3992692750929998"/>
    <n v="35.933079017896397"/>
    <n v="3399.269275093"/>
    <n v="94.6"/>
    <s v="Physical"/>
    <x v="0"/>
  </r>
  <r>
    <n v="11"/>
    <x v="2"/>
    <s v="Cassette"/>
    <n v="16.2"/>
    <n v="576.06827509300001"/>
    <n v="0.57606827509299996"/>
    <n v="35.559770067469103"/>
    <n v="576.06827509300001"/>
    <n v="16.2"/>
    <s v="Physical"/>
    <x v="1"/>
  </r>
  <r>
    <n v="12"/>
    <x v="2"/>
    <s v="LP/EP"/>
    <n v="257"/>
    <n v="8658.5160780669994"/>
    <n v="8.6585160780669899"/>
    <n v="33.690724039171201"/>
    <n v="8658.5160780669994"/>
    <n v="257"/>
    <s v="Physical"/>
    <x v="2"/>
  </r>
  <r>
    <n v="13"/>
    <x v="2"/>
    <s v="Other Tapes"/>
    <n v="1.5"/>
    <n v="59.472635687999997"/>
    <n v="5.9472635688E-2"/>
    <n v="39.648423791999903"/>
    <n v="59.472635687999997"/>
    <n v="1.5"/>
    <s v="Physical"/>
    <x v="3"/>
  </r>
  <r>
    <n v="14"/>
    <x v="2"/>
    <s v="Vinyl Single"/>
    <n v="164"/>
    <n v="1233.182592937"/>
    <n v="1.2331825929369999"/>
    <n v="7.5194060544939001"/>
    <n v="1233.182592937"/>
    <n v="164"/>
    <s v="Physical"/>
    <x v="4"/>
  </r>
  <r>
    <n v="15"/>
    <x v="3"/>
    <s v="8 - Track"/>
    <n v="106.1"/>
    <n v="3738.9082565909998"/>
    <n v="3.7389082565909999"/>
    <n v="35.239474614429703"/>
    <n v="3738.9082565909998"/>
    <n v="106.1"/>
    <s v="Physical"/>
    <x v="0"/>
  </r>
  <r>
    <n v="16"/>
    <x v="3"/>
    <s v="Cassette"/>
    <n v="21.8"/>
    <n v="803.242307557"/>
    <n v="0.80324230755699999"/>
    <n v="36.845977410871498"/>
    <n v="803.242307557"/>
    <n v="21.8"/>
    <s v="Physical"/>
    <x v="1"/>
  </r>
  <r>
    <n v="17"/>
    <x v="3"/>
    <s v="LP/EP"/>
    <n v="273"/>
    <n v="9168.0985413010003"/>
    <n v="9.1680985413009992"/>
    <n v="33.582778539564103"/>
    <n v="9168.0985413010003"/>
    <n v="273"/>
    <s v="Physical"/>
    <x v="2"/>
  </r>
  <r>
    <n v="18"/>
    <x v="3"/>
    <s v="Other Tapes"/>
    <n v="0.7"/>
    <n v="28.116237258000002"/>
    <n v="2.8116237257999999E-2"/>
    <n v="40.166053225714201"/>
    <n v="28.116237258000002"/>
    <n v="0.7"/>
    <s v="Physical"/>
    <x v="3"/>
  </r>
  <r>
    <n v="19"/>
    <x v="3"/>
    <s v="Vinyl Single"/>
    <n v="190"/>
    <n v="1351.2332847099999"/>
    <n v="1.3512332847099999"/>
    <n v="7.1117541300526304"/>
    <n v="1351.2332847099999"/>
    <n v="190"/>
    <s v="Physical"/>
    <x v="4"/>
  </r>
  <r>
    <n v="20"/>
    <x v="4"/>
    <s v="8 - Track"/>
    <n v="127.3"/>
    <n v="4198.049158416"/>
    <n v="4.1980491584159996"/>
    <n v="32.977605329269402"/>
    <n v="4198.049158416"/>
    <n v="127.3"/>
    <s v="Physical"/>
    <x v="0"/>
  </r>
  <r>
    <n v="21"/>
    <x v="4"/>
    <s v="Cassette"/>
    <n v="36.9"/>
    <n v="1292.0259801980001"/>
    <n v="1.2920259801980001"/>
    <n v="35.014254205907797"/>
    <n v="1292.0259801980001"/>
    <n v="36.9"/>
    <s v="Physical"/>
    <x v="1"/>
  </r>
  <r>
    <n v="22"/>
    <x v="4"/>
    <s v="LP/EP"/>
    <n v="344"/>
    <n v="11362.685212871"/>
    <n v="11.362685212871"/>
    <n v="33.031061665322603"/>
    <n v="11362.685212871"/>
    <n v="344"/>
    <s v="Physical"/>
    <x v="2"/>
  </r>
  <r>
    <n v="23"/>
    <x v="4"/>
    <s v="Vinyl Single"/>
    <n v="190"/>
    <n v="1268.7322425740001"/>
    <n v="1.268732242574"/>
    <n v="6.6775381188105198"/>
    <n v="1268.7322425740001"/>
    <n v="190"/>
    <s v="Physical"/>
    <x v="4"/>
  </r>
  <r>
    <n v="24"/>
    <x v="5"/>
    <s v="8 - Track"/>
    <n v="133.6"/>
    <n v="4560.9995705519996"/>
    <n v="4.5609995705519903"/>
    <n v="34.139218342455003"/>
    <n v="4560.9995705519996"/>
    <n v="133.6"/>
    <s v="Physical"/>
    <x v="0"/>
  </r>
  <r>
    <n v="25"/>
    <x v="5"/>
    <s v="Cassette"/>
    <n v="61.3"/>
    <n v="2164.0692055210002"/>
    <n v="2.1640692055209998"/>
    <n v="35.302923417960798"/>
    <n v="2164.0692055210002"/>
    <n v="61.3"/>
    <s v="Physical"/>
    <x v="1"/>
  </r>
  <r>
    <n v="26"/>
    <x v="5"/>
    <s v="LP/EP"/>
    <n v="341.3"/>
    <n v="11899.493921779"/>
    <n v="11.899493921778999"/>
    <n v="34.865203403981802"/>
    <n v="11899.493921779"/>
    <n v="341.3"/>
    <s v="Physical"/>
    <x v="2"/>
  </r>
  <r>
    <n v="27"/>
    <x v="5"/>
    <s v="Vinyl Single"/>
    <n v="190"/>
    <n v="1252.350409509"/>
    <n v="1.2523504095089999"/>
    <n v="6.5913179447842101"/>
    <n v="1252.350409509"/>
    <n v="190"/>
    <s v="Physical"/>
    <x v="4"/>
  </r>
  <r>
    <n v="28"/>
    <x v="6"/>
    <s v="8 - Track"/>
    <n v="102.3"/>
    <n v="2956.7132603310001"/>
    <n v="2.956713260331"/>
    <n v="28.9023779113489"/>
    <n v="2956.7132603310001"/>
    <n v="102.3"/>
    <s v="Physical"/>
    <x v="0"/>
  </r>
  <r>
    <n v="29"/>
    <x v="6"/>
    <s v="Cassette"/>
    <n v="78.5"/>
    <n v="2508.647842975"/>
    <n v="2.5086478429749999"/>
    <n v="31.9572973627388"/>
    <n v="2508.647842975"/>
    <n v="78.5"/>
    <s v="Physical"/>
    <x v="1"/>
  </r>
  <r>
    <n v="30"/>
    <x v="6"/>
    <s v="LP/EP"/>
    <n v="290"/>
    <n v="8887.8549999999996"/>
    <n v="8.8878550000000001"/>
    <n v="30.647775862068901"/>
    <n v="8887.8549999999996"/>
    <n v="290"/>
    <s v="Physical"/>
    <x v="2"/>
  </r>
  <r>
    <n v="31"/>
    <x v="6"/>
    <s v="Vinyl Single"/>
    <n v="212"/>
    <n v="1527.8296198349999"/>
    <n v="1.5278296198349901"/>
    <n v="7.2067434897877298"/>
    <n v="1527.8296198349999"/>
    <n v="212"/>
    <s v="Physical"/>
    <x v="4"/>
  </r>
  <r>
    <n v="32"/>
    <x v="7"/>
    <s v="8 - Track"/>
    <n v="85"/>
    <n v="2006.2391140780001"/>
    <n v="2.0062391140779998"/>
    <n v="23.602813106799999"/>
    <n v="2006.2391140780001"/>
    <n v="85"/>
    <s v="Physical"/>
    <x v="0"/>
  </r>
  <r>
    <n v="33"/>
    <x v="7"/>
    <s v="Cassette"/>
    <n v="99"/>
    <n v="2683.8682645630001"/>
    <n v="2.6838682645629999"/>
    <n v="27.1097804501313"/>
    <n v="2683.8682645630001"/>
    <n v="99"/>
    <s v="Physical"/>
    <x v="1"/>
  </r>
  <r>
    <n v="34"/>
    <x v="7"/>
    <s v="LP/EP"/>
    <n v="308"/>
    <n v="8375.1917475730006"/>
    <n v="8.375191747573"/>
    <n v="27.192180998613601"/>
    <n v="8375.1917475730006"/>
    <n v="308"/>
    <s v="Physical"/>
    <x v="2"/>
  </r>
  <r>
    <n v="35"/>
    <x v="7"/>
    <s v="Vinyl Single"/>
    <n v="157"/>
    <n v="951.72633495100001"/>
    <n v="0.95172633495100001"/>
    <n v="6.0619511780318396"/>
    <n v="951.72633495100001"/>
    <n v="157"/>
    <s v="Physical"/>
    <x v="4"/>
  </r>
  <r>
    <n v="36"/>
    <x v="8"/>
    <s v="8 - Track"/>
    <n v="50"/>
    <n v="1080.139240924"/>
    <n v="1.080139240924"/>
    <n v="21.60278481848"/>
    <n v="1080.139240924"/>
    <n v="50"/>
    <s v="Physical"/>
    <x v="0"/>
  </r>
  <r>
    <n v="37"/>
    <x v="8"/>
    <s v="Cassette"/>
    <n v="124"/>
    <n v="3667.642125413"/>
    <n v="3.6676421254129998"/>
    <n v="29.577759075911199"/>
    <n v="3667.642125413"/>
    <n v="124"/>
    <s v="Physical"/>
    <x v="1"/>
  </r>
  <r>
    <n v="38"/>
    <x v="8"/>
    <s v="LP/EP"/>
    <n v="295.2"/>
    <n v="8081.028947195"/>
    <n v="8.0810289471949996"/>
    <n v="27.374759306216099"/>
    <n v="8081.028947195"/>
    <n v="295.2"/>
    <s v="Physical"/>
    <x v="2"/>
  </r>
  <r>
    <n v="39"/>
    <x v="8"/>
    <s v="Vinyl Single"/>
    <n v="154.69999999999999"/>
    <n v="884.81693729400001"/>
    <n v="0.88481693729400002"/>
    <n v="5.7195664983451797"/>
    <n v="884.81693729400001"/>
    <n v="154.69999999999999"/>
    <s v="Physical"/>
    <x v="4"/>
  </r>
  <r>
    <n v="40"/>
    <x v="9"/>
    <s v="8 - Track"/>
    <n v="13.7"/>
    <n v="117.023875648"/>
    <n v="0.117023875648"/>
    <n v="8.5418887334306497"/>
    <n v="117.023875648"/>
    <n v="13.7"/>
    <s v="Physical"/>
    <x v="0"/>
  </r>
  <r>
    <n v="41"/>
    <x v="9"/>
    <s v="Cassette"/>
    <n v="183.2"/>
    <n v="4500.5432176169998"/>
    <n v="4.5005432176169897"/>
    <n v="24.566283938957401"/>
    <n v="4500.5432176169998"/>
    <n v="183.2"/>
    <s v="Physical"/>
    <x v="1"/>
  </r>
  <r>
    <n v="42"/>
    <x v="9"/>
    <s v="LP/EP"/>
    <n v="243.9"/>
    <n v="6257.8517502590003"/>
    <n v="6.2578517502590003"/>
    <n v="25.657448750549399"/>
    <n v="6257.8517502590003"/>
    <n v="243.9"/>
    <s v="Physical"/>
    <x v="2"/>
  </r>
  <r>
    <n v="43"/>
    <x v="9"/>
    <s v="Vinyl Single"/>
    <n v="137.19999999999999"/>
    <n v="919.93768911899997"/>
    <n v="0.91993768911899998"/>
    <n v="6.7050851976603498"/>
    <n v="919.93768911899997"/>
    <n v="137.19999999999999"/>
    <s v="Physical"/>
    <x v="4"/>
  </r>
  <r>
    <n v="44"/>
    <x v="10"/>
    <s v="CD"/>
    <n v="0.8"/>
    <n v="54.171192771000001"/>
    <n v="5.4171192771E-2"/>
    <n v="67.713990963749893"/>
    <n v="54.171192771000001"/>
    <n v="0.8"/>
    <s v="Physical"/>
    <x v="5"/>
  </r>
  <r>
    <n v="45"/>
    <x v="10"/>
    <s v="Cassette"/>
    <n v="236.8"/>
    <n v="5703.4077319280004"/>
    <n v="5.7034077319280003"/>
    <n v="24.085336705776999"/>
    <n v="5703.4077319280004"/>
    <n v="236.8"/>
    <s v="Physical"/>
    <x v="1"/>
  </r>
  <r>
    <n v="46"/>
    <x v="10"/>
    <s v="LP/EP"/>
    <n v="209.6"/>
    <n v="5319.4851506020004"/>
    <n v="5.3194851506019996"/>
    <n v="25.379223046765201"/>
    <n v="5319.4851506020004"/>
    <n v="209.6"/>
    <s v="Physical"/>
    <x v="2"/>
  </r>
  <r>
    <n v="47"/>
    <x v="10"/>
    <s v="Vinyl Single"/>
    <n v="124.8"/>
    <n v="848.15710542199997"/>
    <n v="0.84815710542199996"/>
    <n v="6.7961306524198699"/>
    <n v="848.15710542199997"/>
    <n v="124.8"/>
    <s v="Physical"/>
    <x v="4"/>
  </r>
  <r>
    <n v="48"/>
    <x v="11"/>
    <s v="CD"/>
    <n v="5.8"/>
    <n v="311.87751395599997"/>
    <n v="0.311877513956"/>
    <n v="53.771985164827498"/>
    <n v="311.87751395599997"/>
    <n v="5.8"/>
    <s v="Physical"/>
    <x v="5"/>
  </r>
  <r>
    <n v="49"/>
    <x v="11"/>
    <s v="Cassette"/>
    <n v="332"/>
    <n v="7197.3359682390001"/>
    <n v="7.1973359682389999"/>
    <n v="21.678722795900601"/>
    <n v="7197.3359682390001"/>
    <n v="332"/>
    <s v="Physical"/>
    <x v="1"/>
  </r>
  <r>
    <n v="50"/>
    <x v="11"/>
    <s v="LP/EP"/>
    <n v="204.6"/>
    <n v="4676.0493089510001"/>
    <n v="4.6760493089509998"/>
    <n v="22.854590952839601"/>
    <n v="4676.0493089510001"/>
    <n v="204.6"/>
    <s v="Physical"/>
    <x v="2"/>
  </r>
  <r>
    <n v="51"/>
    <x v="11"/>
    <s v="Vinyl Single"/>
    <n v="131.5"/>
    <n v="901.81813570700001"/>
    <n v="0.90181813570699998"/>
    <n v="6.8579325909277502"/>
    <n v="901.81813570700001"/>
    <n v="131.5"/>
    <s v="Physical"/>
    <x v="4"/>
  </r>
  <r>
    <n v="52"/>
    <x v="12"/>
    <s v="CD"/>
    <n v="22.6"/>
    <n v="1135.5191960970001"/>
    <n v="1.1355191960969999"/>
    <n v="50.244212216681397"/>
    <n v="1135.5191960970001"/>
    <n v="22.6"/>
    <s v="Physical"/>
    <x v="5"/>
  </r>
  <r>
    <n v="53"/>
    <x v="12"/>
    <s v="Cassette"/>
    <n v="339.1"/>
    <n v="7030.3069098509995"/>
    <n v="7.0303069098509896"/>
    <n v="20.7322527568593"/>
    <n v="7030.3069098509995"/>
    <n v="339.1"/>
    <s v="Physical"/>
    <x v="1"/>
  </r>
  <r>
    <n v="54"/>
    <x v="12"/>
    <s v="LP/EP"/>
    <n v="167"/>
    <n v="3733.0740195170001"/>
    <n v="3.7330740195169998"/>
    <n v="22.353736643814301"/>
    <n v="3733.0740195170001"/>
    <n v="167"/>
    <s v="Physical"/>
    <x v="2"/>
  </r>
  <r>
    <n v="55"/>
    <x v="12"/>
    <s v="Vinyl Single"/>
    <n v="120.7"/>
    <n v="819.206403346"/>
    <n v="0.81920640334600003"/>
    <n v="6.7871284452858296"/>
    <n v="819.206403346"/>
    <n v="120.7"/>
    <s v="Physical"/>
    <x v="4"/>
  </r>
  <r>
    <n v="56"/>
    <x v="13"/>
    <s v="CD"/>
    <n v="53"/>
    <n v="2662.0633111309999"/>
    <n v="2.6620633111309999"/>
    <n v="50.227609643981097"/>
    <n v="2662.0633111309999"/>
    <n v="53"/>
    <s v="Physical"/>
    <x v="5"/>
  </r>
  <r>
    <n v="57"/>
    <x v="13"/>
    <s v="Cassette"/>
    <n v="344.5"/>
    <n v="7153.8837180660003"/>
    <n v="7.153883718066"/>
    <n v="20.765990473340999"/>
    <n v="7153.8837180660003"/>
    <n v="344.5"/>
    <s v="Physical"/>
    <x v="1"/>
  </r>
  <r>
    <n v="58"/>
    <x v="13"/>
    <s v="LP/EP"/>
    <n v="125.2"/>
    <n v="2813.4697718980001"/>
    <n v="2.8134697718980002"/>
    <n v="22.4718032899201"/>
    <n v="2813.4697718980001"/>
    <n v="125.2"/>
    <s v="Physical"/>
    <x v="2"/>
  </r>
  <r>
    <n v="59"/>
    <x v="13"/>
    <s v="Vinyl Single"/>
    <n v="93.9"/>
    <n v="652.85092062000001"/>
    <n v="0.65285092062000005"/>
    <n v="6.9526189629392903"/>
    <n v="652.85092062000001"/>
    <n v="93.9"/>
    <s v="Physical"/>
    <x v="4"/>
  </r>
  <r>
    <n v="60"/>
    <x v="14"/>
    <s v="CD"/>
    <n v="102.1"/>
    <n v="4400.4823098590005"/>
    <n v="4.400482309859"/>
    <n v="43.099728793917699"/>
    <n v="4400.4823098590005"/>
    <n v="102.1"/>
    <s v="Physical"/>
    <x v="5"/>
  </r>
  <r>
    <n v="61"/>
    <x v="14"/>
    <s v="Cassette"/>
    <n v="410"/>
    <n v="8172.7582156689996"/>
    <n v="8.1727582156689902"/>
    <n v="19.933556623582898"/>
    <n v="8172.7582156689996"/>
    <n v="410"/>
    <s v="Physical"/>
    <x v="1"/>
  </r>
  <r>
    <n v="62"/>
    <x v="14"/>
    <s v="Cassette Single"/>
    <n v="5.0999999999999996"/>
    <n v="39.487259682999998"/>
    <n v="3.9487259683000001E-2"/>
    <n v="7.7425999378431296"/>
    <n v="39.487259682999998"/>
    <n v="5.0999999999999996"/>
    <s v="Physical"/>
    <x v="6"/>
  </r>
  <r>
    <n v="63"/>
    <x v="14"/>
    <s v="LP/EP"/>
    <n v="107"/>
    <n v="2190.0241716549999"/>
    <n v="2.1900241716550002"/>
    <n v="20.4675156229439"/>
    <n v="2190.0241716549999"/>
    <n v="107"/>
    <s v="Physical"/>
    <x v="2"/>
  </r>
  <r>
    <n v="64"/>
    <x v="14"/>
    <s v="Vinyl Single"/>
    <n v="82"/>
    <n v="561.381810739"/>
    <n v="0.56138181073899995"/>
    <n v="6.8461196431585298"/>
    <n v="561.381810739"/>
    <n v="82"/>
    <s v="Physical"/>
    <x v="4"/>
  </r>
  <r>
    <n v="65"/>
    <x v="15"/>
    <s v="CD"/>
    <n v="149.69999999999999"/>
    <n v="5541.6622240070001"/>
    <n v="5.5416622240070001"/>
    <n v="37.018451730173602"/>
    <n v="5541.6622240070001"/>
    <n v="149.69999999999999"/>
    <s v="Physical"/>
    <x v="5"/>
  </r>
  <r>
    <n v="66"/>
    <x v="15"/>
    <s v="CD Single"/>
    <n v="1.6"/>
    <n v="25.986071006"/>
    <n v="2.5986071005999999E-2"/>
    <n v="16.241294378749998"/>
    <n v="25.986071006"/>
    <n v="1.6"/>
    <s v="Physical"/>
    <x v="7"/>
  </r>
  <r>
    <n v="67"/>
    <x v="15"/>
    <s v="Cassette"/>
    <n v="450.1"/>
    <n v="8976.0662206260004"/>
    <n v="8.9760662206260005"/>
    <n v="19.9423821831281"/>
    <n v="8976.0662206260004"/>
    <n v="450.1"/>
    <s v="Physical"/>
    <x v="1"/>
  </r>
  <r>
    <n v="68"/>
    <x v="15"/>
    <s v="Cassette Single"/>
    <n v="22.5"/>
    <n v="151.93896618799999"/>
    <n v="0.15193896618799901"/>
    <n v="6.75284294168888"/>
    <n v="151.93896618799999"/>
    <n v="22.5"/>
    <s v="Physical"/>
    <x v="6"/>
  </r>
  <r>
    <n v="69"/>
    <x v="15"/>
    <s v="LP/EP"/>
    <n v="72.400000000000006"/>
    <n v="1411.202754015"/>
    <n v="1.4112027540150001"/>
    <n v="19.491750746063499"/>
    <n v="1411.202754015"/>
    <n v="72.400000000000006"/>
    <s v="Physical"/>
    <x v="2"/>
  </r>
  <r>
    <n v="70"/>
    <x v="15"/>
    <s v="Vinyl Single"/>
    <n v="65.599999999999994"/>
    <n v="478.35583770099998"/>
    <n v="0.47835583770099999"/>
    <n v="7.29200972105183"/>
    <n v="478.35583770099998"/>
    <n v="65.599999999999994"/>
    <s v="Physical"/>
    <x v="4"/>
  </r>
  <r>
    <n v="71"/>
    <x v="16"/>
    <s v="CD"/>
    <n v="207.2"/>
    <n v="6546.2340750000003"/>
    <n v="6.5462340750000001"/>
    <n v="31.593793798262499"/>
    <n v="6546.2340750000003"/>
    <n v="207.2"/>
    <s v="Physical"/>
    <x v="5"/>
  </r>
  <r>
    <n v="72"/>
    <x v="16"/>
    <s v="CD Single"/>
    <n v="-0.1"/>
    <m/>
    <m/>
    <m/>
    <m/>
    <n v="-0.1"/>
    <s v="Physical"/>
    <x v="7"/>
  </r>
  <r>
    <n v="73"/>
    <x v="16"/>
    <s v="Cassette"/>
    <n v="446.2"/>
    <n v="8464.0375499999991"/>
    <n v="8.4640375499999898"/>
    <n v="18.9691563200358"/>
    <n v="8464.0375499999991"/>
    <n v="446.2"/>
    <s v="Physical"/>
    <x v="1"/>
  </r>
  <r>
    <n v="74"/>
    <x v="16"/>
    <s v="Cassette Single"/>
    <n v="76.2"/>
    <n v="492.28935000000001"/>
    <n v="0.49228935000000001"/>
    <n v="6.4604901574803097"/>
    <n v="492.28935000000001"/>
    <n v="76.2"/>
    <s v="Physical"/>
    <x v="6"/>
  </r>
  <r>
    <n v="75"/>
    <x v="16"/>
    <s v="LP/EP"/>
    <n v="34.6"/>
    <n v="557.30392500000005"/>
    <n v="0.55730392500000003"/>
    <n v="16.107049855491301"/>
    <n v="557.30392500000005"/>
    <n v="34.6"/>
    <s v="Physical"/>
    <x v="2"/>
  </r>
  <r>
    <n v="76"/>
    <x v="16"/>
    <s v="Music Video (Physical)"/>
    <n v="6.1"/>
    <n v="291.93315000000001"/>
    <n v="0.29193314999999997"/>
    <n v="47.857893442622903"/>
    <n v="291.93315000000001"/>
    <n v="6.1"/>
    <s v="Physical"/>
    <x v="8"/>
  </r>
  <r>
    <n v="77"/>
    <x v="16"/>
    <s v="Vinyl Single"/>
    <n v="36.6"/>
    <n v="294.46289999999999"/>
    <n v="0.29446289999999897"/>
    <n v="8.0454344262294999"/>
    <n v="294.46289999999999"/>
    <n v="36.6"/>
    <s v="Physical"/>
    <x v="4"/>
  </r>
  <r>
    <n v="78"/>
    <x v="17"/>
    <s v="CD"/>
    <n v="286.5"/>
    <n v="8284.0776771229994"/>
    <n v="8.2840776771229994"/>
    <n v="28.914756290132601"/>
    <n v="8284.0776771229994"/>
    <n v="286.5"/>
    <s v="Physical"/>
    <x v="5"/>
  </r>
  <r>
    <n v="79"/>
    <x v="17"/>
    <s v="CD Single"/>
    <n v="1.1000000000000001"/>
    <n v="14.400413159999999"/>
    <n v="1.440041316E-2"/>
    <n v="13.091284690908999"/>
    <n v="14.400413159999999"/>
    <n v="1.1000000000000001"/>
    <s v="Physical"/>
    <x v="7"/>
  </r>
  <r>
    <n v="80"/>
    <x v="17"/>
    <s v="Cassette"/>
    <n v="442.2"/>
    <n v="8333.9991094109992"/>
    <n v="8.3339991094109998"/>
    <n v="18.846673698351399"/>
    <n v="8333.9991094109992"/>
    <n v="442.2"/>
    <s v="Physical"/>
    <x v="1"/>
  </r>
  <r>
    <n v="81"/>
    <x v="17"/>
    <s v="Cassette Single"/>
    <n v="87.4"/>
    <n v="618.97775898999998"/>
    <n v="0.61897775898999996"/>
    <n v="7.0821253889016003"/>
    <n v="618.97775898999998"/>
    <n v="87.4"/>
    <s v="Physical"/>
    <x v="6"/>
  </r>
  <r>
    <n v="82"/>
    <x v="17"/>
    <s v="LP/EP"/>
    <n v="11.7"/>
    <n v="207.605956389"/>
    <n v="0.20760595638900001"/>
    <n v="17.744098836666598"/>
    <n v="207.605956389"/>
    <n v="11.7"/>
    <s v="Physical"/>
    <x v="2"/>
  </r>
  <r>
    <n v="83"/>
    <x v="17"/>
    <s v="Music Video (Physical)"/>
    <n v="9.1999999999999993"/>
    <n v="413.53186457499999"/>
    <n v="0.41353186457500002"/>
    <n v="44.949115714673901"/>
    <n v="413.53186457499999"/>
    <n v="9.1999999999999993"/>
    <s v="Physical"/>
    <x v="8"/>
  </r>
  <r>
    <n v="84"/>
    <x v="17"/>
    <s v="Vinyl Single"/>
    <n v="27.6"/>
    <n v="226.566500383"/>
    <n v="0.226566500383"/>
    <n v="8.2089311732971009"/>
    <n v="226.566500383"/>
    <n v="27.6"/>
    <s v="Physical"/>
    <x v="4"/>
  </r>
  <r>
    <n v="85"/>
    <x v="18"/>
    <s v="CD"/>
    <n v="333.3"/>
    <n v="9990.3727995589998"/>
    <n v="9.9903727995589993"/>
    <n v="29.974115810257999"/>
    <n v="9990.3727995589998"/>
    <n v="333.3"/>
    <s v="Physical"/>
    <x v="5"/>
  </r>
  <r>
    <n v="86"/>
    <x v="18"/>
    <s v="CD Single"/>
    <n v="5.7"/>
    <n v="80.840557269000001"/>
    <n v="8.0840557268999996E-2"/>
    <n v="14.1825539068421"/>
    <n v="80.840557269000001"/>
    <n v="5.7"/>
    <s v="Physical"/>
    <x v="7"/>
  </r>
  <r>
    <n v="87"/>
    <x v="18"/>
    <s v="Cassette"/>
    <n v="360.1"/>
    <n v="6954.5910748899996"/>
    <n v="6.9545910748899997"/>
    <n v="19.312943834740299"/>
    <n v="6954.5910748899996"/>
    <n v="360.1"/>
    <s v="Physical"/>
    <x v="1"/>
  </r>
  <r>
    <n v="88"/>
    <x v="18"/>
    <s v="Cassette Single"/>
    <n v="69"/>
    <n v="530.64570925099997"/>
    <n v="0.53064570925099996"/>
    <n v="7.6905175253768103"/>
    <n v="530.64570925099997"/>
    <n v="69"/>
    <s v="Physical"/>
    <x v="6"/>
  </r>
  <r>
    <n v="89"/>
    <x v="18"/>
    <s v="LP/EP"/>
    <n v="4.8"/>
    <n v="67.712603524000002"/>
    <n v="6.7712603524000006E-2"/>
    <n v="14.106792400833299"/>
    <n v="67.712603524000002"/>
    <n v="4.8"/>
    <s v="Physical"/>
    <x v="2"/>
  </r>
  <r>
    <n v="90"/>
    <x v="18"/>
    <s v="Music Video (Physical)"/>
    <n v="6.1"/>
    <n v="272.001988987"/>
    <n v="0.27200198898700001"/>
    <n v="44.590489997868801"/>
    <n v="272.001988987"/>
    <n v="6.1"/>
    <s v="Physical"/>
    <x v="8"/>
  </r>
  <r>
    <n v="91"/>
    <x v="18"/>
    <s v="Vinyl Single"/>
    <n v="22"/>
    <n v="147.17127092499999"/>
    <n v="0.14717127092499999"/>
    <n v="6.6896032238636298"/>
    <n v="147.17127092499999"/>
    <n v="22"/>
    <s v="Physical"/>
    <x v="4"/>
  </r>
  <r>
    <n v="92"/>
    <x v="19"/>
    <s v="CD"/>
    <n v="407.5"/>
    <n v="11909.226361368001"/>
    <n v="11.909226361368001"/>
    <n v="29.2250953653202"/>
    <n v="11909.226361368001"/>
    <n v="407.5"/>
    <s v="Physical"/>
    <x v="5"/>
  </r>
  <r>
    <n v="93"/>
    <x v="19"/>
    <s v="CD Single"/>
    <n v="7.3"/>
    <n v="100.836592302"/>
    <n v="0.100836592302"/>
    <n v="13.8132318221917"/>
    <n v="100.836592302"/>
    <n v="7.3"/>
    <s v="Physical"/>
    <x v="7"/>
  </r>
  <r>
    <n v="94"/>
    <x v="19"/>
    <s v="Cassette"/>
    <n v="366.4"/>
    <n v="6967.5625851750001"/>
    <n v="6.967562585175"/>
    <n v="19.016273431154399"/>
    <n v="6967.5625851750001"/>
    <n v="366.4"/>
    <s v="Physical"/>
    <x v="1"/>
  </r>
  <r>
    <n v="95"/>
    <x v="19"/>
    <s v="Cassette Single"/>
    <n v="84.6"/>
    <n v="668.07037205999995"/>
    <n v="0.66807037205999997"/>
    <n v="7.89681290851063"/>
    <n v="668.07037205999995"/>
    <n v="84.6"/>
    <s v="Physical"/>
    <x v="6"/>
  </r>
  <r>
    <n v="96"/>
    <x v="19"/>
    <s v="LP/EP"/>
    <n v="2.2999999999999998"/>
    <n v="30.183902352"/>
    <n v="3.0183902352000001E-2"/>
    <n v="13.1234358052173"/>
    <n v="30.183902352"/>
    <n v="2.2999999999999998"/>
    <s v="Physical"/>
    <x v="2"/>
  </r>
  <r>
    <n v="97"/>
    <x v="19"/>
    <s v="Music Video (Physical)"/>
    <n v="7.6"/>
    <n v="351.92194297899999"/>
    <n v="0.35192194297899998"/>
    <n v="46.305518813026303"/>
    <n v="351.92194297899999"/>
    <n v="7.6"/>
    <s v="Physical"/>
    <x v="8"/>
  </r>
  <r>
    <n v="98"/>
    <x v="19"/>
    <s v="Vinyl Single"/>
    <n v="19.8"/>
    <n v="148.46008268"/>
    <n v="0.14846008267999999"/>
    <n v="7.4979839737373704"/>
    <n v="148.46008268"/>
    <n v="19.8"/>
    <s v="Physical"/>
    <x v="4"/>
  </r>
  <r>
    <n v="99"/>
    <x v="20"/>
    <s v="CD"/>
    <n v="495.4"/>
    <n v="14135.325637370001"/>
    <n v="14.13532563737"/>
    <n v="28.533156312817901"/>
    <n v="14135.325637370001"/>
    <n v="495.4"/>
    <s v="Physical"/>
    <x v="5"/>
  </r>
  <r>
    <n v="100"/>
    <x v="20"/>
    <s v="CD Single"/>
    <n v="7.8"/>
    <n v="99.425302422000001"/>
    <n v="9.9425302421999998E-2"/>
    <n v="12.746833643846101"/>
    <n v="99.425302422000001"/>
    <n v="7.8"/>
    <s v="Physical"/>
    <x v="7"/>
  </r>
  <r>
    <n v="101"/>
    <x v="20"/>
    <s v="Cassette"/>
    <n v="339.5"/>
    <n v="6329.788139792"/>
    <n v="6.3297881397919999"/>
    <n v="18.644442237973401"/>
    <n v="6329.788139792"/>
    <n v="339.5"/>
    <s v="Physical"/>
    <x v="1"/>
  </r>
  <r>
    <n v="102"/>
    <x v="20"/>
    <s v="Cassette Single"/>
    <n v="85.6"/>
    <n v="648.00115224900003"/>
    <n v="0.64800115224900001"/>
    <n v="7.5701069187967303"/>
    <n v="648.00115224900003"/>
    <n v="85.6"/>
    <s v="Physical"/>
    <x v="6"/>
  </r>
  <r>
    <n v="103"/>
    <x v="20"/>
    <s v="LP/EP"/>
    <n v="1.2"/>
    <n v="23.011096194"/>
    <n v="2.3011096193999998E-2"/>
    <n v="19.175913495"/>
    <n v="23.011096194"/>
    <n v="1.2"/>
    <s v="Physical"/>
    <x v="2"/>
  </r>
  <r>
    <n v="104"/>
    <x v="20"/>
    <s v="Music Video (Physical)"/>
    <n v="11"/>
    <n v="463.044039446"/>
    <n v="0.46304403944599998"/>
    <n v="42.094912676908997"/>
    <n v="463.044039446"/>
    <n v="11"/>
    <s v="Physical"/>
    <x v="8"/>
  </r>
  <r>
    <n v="105"/>
    <x v="20"/>
    <s v="Vinyl Single"/>
    <n v="15.1"/>
    <n v="111.147936332"/>
    <n v="0.111147936332"/>
    <n v="7.3607904855629096"/>
    <n v="111.147936332"/>
    <n v="15.1"/>
    <s v="Physical"/>
    <x v="4"/>
  </r>
  <r>
    <n v="106"/>
    <x v="21"/>
    <s v="CD"/>
    <n v="662.1"/>
    <n v="17916.467884614998"/>
    <n v="17.916467884614999"/>
    <n v="27.060063260255198"/>
    <n v="17916.467884614998"/>
    <n v="662.1"/>
    <s v="Physical"/>
    <x v="5"/>
  </r>
  <r>
    <n v="107"/>
    <x v="21"/>
    <s v="CD Single"/>
    <n v="9.3000000000000007"/>
    <n v="118.74462145699999"/>
    <n v="0.118744621457"/>
    <n v="12.768238866343999"/>
    <n v="118.74462145699999"/>
    <n v="9.3000000000000007"/>
    <s v="Physical"/>
    <x v="7"/>
  </r>
  <r>
    <n v="108"/>
    <x v="21"/>
    <s v="Cassette"/>
    <n v="345.4"/>
    <n v="6300.0265829959999"/>
    <n v="6.3000265829959998"/>
    <n v="18.239799024307999"/>
    <n v="6300.0265829959999"/>
    <n v="345.4"/>
    <s v="Physical"/>
    <x v="1"/>
  </r>
  <r>
    <n v="109"/>
    <x v="21"/>
    <s v="Cassette Single"/>
    <n v="81.099999999999994"/>
    <n v="581.86981174100003"/>
    <n v="0.58186981174100005"/>
    <n v="7.1747202434155302"/>
    <n v="581.86981174100003"/>
    <n v="81.099999999999994"/>
    <s v="Physical"/>
    <x v="6"/>
  </r>
  <r>
    <n v="110"/>
    <x v="21"/>
    <s v="LP/EP"/>
    <n v="1.9"/>
    <n v="37.676546559000002"/>
    <n v="3.7676546558999997E-2"/>
    <n v="19.829761346842101"/>
    <n v="37.676546559000002"/>
    <n v="1.9"/>
    <s v="Physical"/>
    <x v="2"/>
  </r>
  <r>
    <n v="111"/>
    <x v="21"/>
    <s v="Music Video (Physical)"/>
    <n v="11.2"/>
    <n v="489.16010728700002"/>
    <n v="0.48916010728699999"/>
    <n v="43.675009579196399"/>
    <n v="489.16010728700002"/>
    <n v="11.2"/>
    <s v="Physical"/>
    <x v="8"/>
  </r>
  <r>
    <n v="112"/>
    <x v="21"/>
    <s v="Vinyl Single"/>
    <n v="11.7"/>
    <n v="99.906348178000002"/>
    <n v="9.9906348177999996E-2"/>
    <n v="8.53900411777777"/>
    <n v="99.906348178000002"/>
    <n v="11.7"/>
    <s v="Physical"/>
    <x v="4"/>
  </r>
  <r>
    <n v="113"/>
    <x v="22"/>
    <s v="CD"/>
    <n v="722.9"/>
    <n v="19301.753468504001"/>
    <n v="19.301753468504"/>
    <n v="26.700447459543501"/>
    <n v="19301.753468504001"/>
    <n v="722.9"/>
    <s v="Physical"/>
    <x v="5"/>
  </r>
  <r>
    <n v="114"/>
    <x v="22"/>
    <s v="CD Single"/>
    <n v="21.5"/>
    <n v="228.268438976"/>
    <n v="0.22826843897599999"/>
    <n v="10.6171366965581"/>
    <n v="228.268438976"/>
    <n v="21.5"/>
    <s v="Physical"/>
    <x v="7"/>
  </r>
  <r>
    <n v="115"/>
    <x v="22"/>
    <s v="Cassette"/>
    <n v="272.60000000000002"/>
    <n v="4741.5615511810001"/>
    <n v="4.7415615511810003"/>
    <n v="17.3938428143103"/>
    <n v="4741.5615511810001"/>
    <n v="272.60000000000002"/>
    <s v="Physical"/>
    <x v="1"/>
  </r>
  <r>
    <n v="116"/>
    <x v="22"/>
    <s v="Cassette Single"/>
    <n v="70.7"/>
    <n v="486.38261614200002"/>
    <n v="0.48638261614200001"/>
    <n v="6.8795278096463903"/>
    <n v="486.38261614200002"/>
    <n v="70.7"/>
    <s v="Physical"/>
    <x v="6"/>
  </r>
  <r>
    <n v="117"/>
    <x v="22"/>
    <s v="LP/EP"/>
    <n v="2.2000000000000002"/>
    <n v="51.664001968999997"/>
    <n v="5.1664001968999999E-2"/>
    <n v="23.4836372586363"/>
    <n v="51.664001968999997"/>
    <n v="2.2000000000000002"/>
    <s v="Physical"/>
    <x v="2"/>
  </r>
  <r>
    <n v="118"/>
    <x v="22"/>
    <s v="Music Video (Physical)"/>
    <n v="12.6"/>
    <n v="453.44938779500001"/>
    <n v="0.45344938779499999"/>
    <n v="35.988046650396797"/>
    <n v="453.44938779500001"/>
    <n v="12.6"/>
    <s v="Physical"/>
    <x v="8"/>
  </r>
  <r>
    <n v="119"/>
    <x v="22"/>
    <s v="Vinyl Single"/>
    <n v="10.199999999999999"/>
    <n v="96.123860235999999"/>
    <n v="9.6123860236000003E-2"/>
    <n v="9.4239078662745097"/>
    <n v="96.123860235999999"/>
    <n v="10.199999999999999"/>
    <s v="Physical"/>
    <x v="4"/>
  </r>
  <r>
    <n v="120"/>
    <x v="23"/>
    <s v="CD"/>
    <n v="778.9"/>
    <n v="19862.371627150998"/>
    <n v="19.862371627150999"/>
    <n v="25.5005413110168"/>
    <n v="19862.371627150998"/>
    <n v="778.9"/>
    <s v="Physical"/>
    <x v="5"/>
  </r>
  <r>
    <n v="121"/>
    <x v="23"/>
    <s v="CD Single"/>
    <n v="43.2"/>
    <n v="368.06975717"/>
    <n v="0.36806975717000001"/>
    <n v="8.52013326782407"/>
    <n v="368.06975717"/>
    <n v="43.2"/>
    <s v="Physical"/>
    <x v="7"/>
  </r>
  <r>
    <n v="122"/>
    <x v="23"/>
    <s v="Cassette"/>
    <n v="225.3"/>
    <n v="3809.2520822179999"/>
    <n v="3.8092520822179998"/>
    <n v="16.907465966347001"/>
    <n v="3809.2520822179999"/>
    <n v="225.3"/>
    <s v="Physical"/>
    <x v="1"/>
  </r>
  <r>
    <n v="123"/>
    <x v="23"/>
    <s v="Cassette Single"/>
    <n v="59.9"/>
    <n v="378.46607839400002"/>
    <n v="0.37846607839399998"/>
    <n v="6.3182984706844696"/>
    <n v="378.46607839400002"/>
    <n v="59.9"/>
    <s v="Physical"/>
    <x v="6"/>
  </r>
  <r>
    <n v="124"/>
    <x v="23"/>
    <s v="LP/EP"/>
    <n v="2.9"/>
    <n v="73.573965583000003"/>
    <n v="7.3573965583000001E-2"/>
    <n v="25.370332959655101"/>
    <n v="73.573965583000003"/>
    <n v="2.9"/>
    <s v="Physical"/>
    <x v="2"/>
  </r>
  <r>
    <n v="125"/>
    <x v="23"/>
    <s v="Music Video (Physical)"/>
    <n v="16.899999999999999"/>
    <n v="472.032969407"/>
    <n v="0.47203296940700001"/>
    <n v="27.9309449353254"/>
    <n v="472.032969407"/>
    <n v="16.899999999999999"/>
    <s v="Physical"/>
    <x v="8"/>
  </r>
  <r>
    <n v="126"/>
    <x v="23"/>
    <s v="Vinyl Single"/>
    <n v="10.1"/>
    <n v="94.966395793000004"/>
    <n v="9.4966395792999994E-2"/>
    <n v="9.4026134448514807"/>
    <n v="94.966395793000004"/>
    <n v="10.1"/>
    <s v="Physical"/>
    <x v="4"/>
  </r>
  <r>
    <n v="127"/>
    <x v="24"/>
    <s v="CD"/>
    <n v="753.1"/>
    <n v="19378.553295327001"/>
    <n v="19.378553295326999"/>
    <n v="25.7317133120794"/>
    <n v="19378.553295327001"/>
    <n v="753.1"/>
    <s v="Physical"/>
    <x v="5"/>
  </r>
  <r>
    <n v="128"/>
    <x v="24"/>
    <s v="CD Single"/>
    <n v="66.7"/>
    <n v="532.97813270999995"/>
    <n v="0.53297813270999905"/>
    <n v="7.9906766523238302"/>
    <n v="532.97813270999995"/>
    <n v="66.7"/>
    <s v="Physical"/>
    <x v="7"/>
  </r>
  <r>
    <n v="129"/>
    <x v="24"/>
    <s v="Cassette"/>
    <n v="172.6"/>
    <n v="2976.0388803740002"/>
    <n v="2.9760388803739999"/>
    <n v="17.242403710162201"/>
    <n v="2976.0388803740002"/>
    <n v="172.6"/>
    <s v="Physical"/>
    <x v="1"/>
  </r>
  <r>
    <n v="130"/>
    <x v="24"/>
    <s v="Cassette Single"/>
    <n v="42.2"/>
    <n v="260.91888784999998"/>
    <n v="0.26091888785"/>
    <n v="6.1829120343601804"/>
    <n v="260.91888784999998"/>
    <n v="42.2"/>
    <s v="Physical"/>
    <x v="6"/>
  </r>
  <r>
    <n v="131"/>
    <x v="24"/>
    <s v="LP/EP"/>
    <n v="2.7"/>
    <n v="65.083138317999996"/>
    <n v="6.5083138318E-2"/>
    <n v="24.104866043703701"/>
    <n v="65.083138317999996"/>
    <n v="2.7"/>
    <s v="Physical"/>
    <x v="2"/>
  </r>
  <r>
    <n v="132"/>
    <x v="24"/>
    <s v="Music Video (Physical)"/>
    <n v="18.600000000000001"/>
    <n v="633.04590093499996"/>
    <n v="0.63304590093500002"/>
    <n v="34.034725856720399"/>
    <n v="633.04590093499996"/>
    <n v="18.600000000000001"/>
    <s v="Physical"/>
    <x v="8"/>
  </r>
  <r>
    <n v="133"/>
    <x v="24"/>
    <s v="Vinyl Single"/>
    <n v="7.5"/>
    <n v="69.578370093000004"/>
    <n v="6.9578370092999997E-2"/>
    <n v="9.2771160124000005"/>
    <n v="69.578370093000004"/>
    <n v="7.5"/>
    <s v="Physical"/>
    <x v="4"/>
  </r>
  <r>
    <n v="134"/>
    <x v="25"/>
    <s v="CD"/>
    <n v="847"/>
    <n v="21969.776834355998"/>
    <n v="21.969776834355901"/>
    <n v="25.938343369959799"/>
    <n v="21969.776834355998"/>
    <n v="847"/>
    <s v="Physical"/>
    <x v="5"/>
  </r>
  <r>
    <n v="135"/>
    <x v="25"/>
    <s v="CD Single"/>
    <n v="56"/>
    <n v="410.29751411000001"/>
    <n v="0.41029751410999998"/>
    <n v="7.3267413233928496"/>
    <n v="410.29751411000001"/>
    <n v="56"/>
    <s v="Physical"/>
    <x v="7"/>
  </r>
  <r>
    <n v="136"/>
    <x v="25"/>
    <s v="Cassette"/>
    <n v="158.5"/>
    <n v="2732.5583503070002"/>
    <n v="2.7325583503069999"/>
    <n v="17.240115774807499"/>
    <n v="2732.5583503070002"/>
    <n v="158.5"/>
    <s v="Physical"/>
    <x v="1"/>
  </r>
  <r>
    <n v="137"/>
    <x v="25"/>
    <s v="Cassette Single"/>
    <n v="26.4"/>
    <n v="181.67019386499999"/>
    <n v="0.181670193865"/>
    <n v="6.8814467373105996"/>
    <n v="181.67019386499999"/>
    <n v="26.4"/>
    <s v="Physical"/>
    <x v="6"/>
  </r>
  <r>
    <n v="138"/>
    <x v="25"/>
    <s v="LP/EP"/>
    <n v="3.4"/>
    <n v="65.432061349999998"/>
    <n v="6.5432061350000001E-2"/>
    <n v="19.244723926470499"/>
    <n v="65.432061349999998"/>
    <n v="3.4"/>
    <s v="Physical"/>
    <x v="2"/>
  </r>
  <r>
    <n v="139"/>
    <x v="25"/>
    <s v="Music Video (Physical)"/>
    <n v="27.2"/>
    <n v="977.63197546000004"/>
    <n v="0.97763197546000002"/>
    <n v="35.942352038970498"/>
    <n v="977.63197546000004"/>
    <n v="27.2"/>
    <s v="Physical"/>
    <x v="8"/>
  </r>
  <r>
    <n v="140"/>
    <x v="25"/>
    <s v="Vinyl Single"/>
    <n v="5.4"/>
    <n v="49.458940491"/>
    <n v="4.9458940490999997E-2"/>
    <n v="9.1590630538888806"/>
    <n v="49.458940491"/>
    <n v="5.4"/>
    <s v="Physical"/>
    <x v="4"/>
  </r>
  <r>
    <n v="141"/>
    <x v="26"/>
    <s v="CD"/>
    <n v="938.9"/>
    <n v="24131.646642856998"/>
    <n v="24.131646642857"/>
    <n v="25.7020413706007"/>
    <n v="24131.646642856998"/>
    <n v="938.9"/>
    <s v="Physical"/>
    <x v="5"/>
  </r>
  <r>
    <n v="142"/>
    <x v="26"/>
    <s v="CD Single"/>
    <n v="55.9"/>
    <n v="418.754103241"/>
    <n v="0.41875410324099999"/>
    <n v="7.4911288594096597"/>
    <n v="418.754103241"/>
    <n v="55.9"/>
    <s v="Physical"/>
    <x v="7"/>
  </r>
  <r>
    <n v="143"/>
    <x v="26"/>
    <s v="Cassette"/>
    <n v="123.6"/>
    <n v="1998.8730036009999"/>
    <n v="1.9988730036010001"/>
    <n v="16.1721116796197"/>
    <n v="1998.8730036009999"/>
    <n v="123.6"/>
    <s v="Physical"/>
    <x v="1"/>
  </r>
  <r>
    <n v="144"/>
    <x v="26"/>
    <s v="Cassette Single"/>
    <n v="14.2"/>
    <n v="90.378583433000003"/>
    <n v="9.0378583432999995E-2"/>
    <n v="6.3646889741549302"/>
    <n v="90.378583433000003"/>
    <n v="14.2"/>
    <s v="Physical"/>
    <x v="6"/>
  </r>
  <r>
    <n v="145"/>
    <x v="26"/>
    <s v="LP/EP"/>
    <n v="2.9"/>
    <n v="59.875811525000003"/>
    <n v="5.9875811525000003E-2"/>
    <n v="20.6468315603448"/>
    <n v="59.875811525000003"/>
    <n v="2.9"/>
    <s v="Physical"/>
    <x v="2"/>
  </r>
  <r>
    <n v="146"/>
    <x v="26"/>
    <s v="Music Video (Physical)"/>
    <n v="19.8"/>
    <n v="709.28359123600001"/>
    <n v="0.70928359123600004"/>
    <n v="35.822403597777701"/>
    <n v="709.28359123600001"/>
    <n v="19.8"/>
    <s v="Physical"/>
    <x v="8"/>
  </r>
  <r>
    <n v="147"/>
    <x v="26"/>
    <s v="Vinyl Single"/>
    <n v="5.3"/>
    <n v="52.532551621000003"/>
    <n v="5.2532551620999998E-2"/>
    <n v="9.9118021926415096"/>
    <n v="52.532551621000003"/>
    <n v="5.3"/>
    <s v="Physical"/>
    <x v="4"/>
  </r>
  <r>
    <n v="148"/>
    <x v="27"/>
    <s v="CD"/>
    <n v="942.5"/>
    <n v="24072.260688153001"/>
    <n v="24.072260688153001"/>
    <n v="25.540860146581402"/>
    <n v="24072.260688153001"/>
    <n v="942.5"/>
    <s v="Physical"/>
    <x v="5"/>
  </r>
  <r>
    <n v="149"/>
    <x v="27"/>
    <s v="CD Single"/>
    <n v="34.200000000000003"/>
    <n v="259.95017595799999"/>
    <n v="0.25995017595800002"/>
    <n v="7.6008823379532098"/>
    <n v="259.95017595799999"/>
    <n v="34.200000000000003"/>
    <s v="Physical"/>
    <x v="7"/>
  </r>
  <r>
    <n v="150"/>
    <x v="27"/>
    <s v="Cassette"/>
    <n v="76"/>
    <n v="1140.356062718"/>
    <n v="1.1403560627180001"/>
    <n v="15.004685035763099"/>
    <n v="1140.356062718"/>
    <n v="76"/>
    <s v="Physical"/>
    <x v="1"/>
  </r>
  <r>
    <n v="151"/>
    <x v="27"/>
    <s v="Cassette Single"/>
    <n v="1.3"/>
    <n v="8.3796132399999994"/>
    <n v="8.3796132400000001E-3"/>
    <n v="6.4458563384615299"/>
    <n v="8.3796132399999994"/>
    <n v="1.3"/>
    <s v="Physical"/>
    <x v="6"/>
  </r>
  <r>
    <n v="152"/>
    <x v="27"/>
    <s v="LP/EP"/>
    <n v="2.2000000000000002"/>
    <n v="50.459844947999997"/>
    <n v="5.0459844947999898E-2"/>
    <n v="22.936293158181801"/>
    <n v="50.459844947999997"/>
    <n v="2.2000000000000002"/>
    <s v="Physical"/>
    <x v="2"/>
  </r>
  <r>
    <n v="153"/>
    <x v="27"/>
    <s v="Music Video (Physical)"/>
    <n v="18.2"/>
    <n v="513.52455923299999"/>
    <n v="0.513524559233"/>
    <n v="28.215635122692301"/>
    <n v="513.52455923299999"/>
    <n v="18.2"/>
    <s v="Physical"/>
    <x v="8"/>
  </r>
  <r>
    <n v="154"/>
    <x v="27"/>
    <s v="Vinyl Single"/>
    <n v="4.8"/>
    <n v="47.909527875000002"/>
    <n v="4.7909527875000003E-2"/>
    <n v="9.9811516406250007"/>
    <n v="47.909527875000002"/>
    <n v="4.8"/>
    <s v="Physical"/>
    <x v="4"/>
  </r>
  <r>
    <n v="155"/>
    <x v="28"/>
    <s v="CD"/>
    <n v="881.9"/>
    <n v="22865.820308300001"/>
    <n v="22.865820308299998"/>
    <n v="25.927906007823999"/>
    <n v="22865.820308300001"/>
    <n v="881.9"/>
    <s v="Physical"/>
    <x v="5"/>
  </r>
  <r>
    <n v="156"/>
    <x v="28"/>
    <s v="CD Single"/>
    <n v="17.3"/>
    <n v="140.637530209"/>
    <n v="0.14063753020899999"/>
    <n v="8.1293370063005703"/>
    <n v="140.637530209"/>
    <n v="17.3"/>
    <s v="Physical"/>
    <x v="7"/>
  </r>
  <r>
    <n v="157"/>
    <x v="28"/>
    <s v="Cassette"/>
    <n v="45"/>
    <n v="643.67353246799996"/>
    <n v="0.64367353246799996"/>
    <n v="14.3038562770666"/>
    <n v="643.67353246799996"/>
    <n v="45"/>
    <s v="Physical"/>
    <x v="1"/>
  </r>
  <r>
    <n v="158"/>
    <x v="28"/>
    <s v="Cassette Single"/>
    <n v="-1.5"/>
    <m/>
    <m/>
    <m/>
    <m/>
    <n v="-1.5"/>
    <s v="Physical"/>
    <x v="6"/>
  </r>
  <r>
    <n v="159"/>
    <x v="28"/>
    <s v="DVD Audio"/>
    <n v="0.26300000000000001"/>
    <n v="10.627521174"/>
    <n v="1.0627521173999999E-2"/>
    <n v="40.408825756653897"/>
    <n v="10.627521174"/>
    <n v="0.26300000000000001"/>
    <s v="Physical"/>
    <x v="9"/>
  </r>
  <r>
    <n v="160"/>
    <x v="28"/>
    <s v="LP/EP"/>
    <n v="2.2999999999999998"/>
    <n v="48.532346697000001"/>
    <n v="4.8532346697000003E-2"/>
    <n v="21.101020303043398"/>
    <n v="48.532346697000001"/>
    <n v="2.2999999999999998"/>
    <s v="Physical"/>
    <x v="2"/>
  </r>
  <r>
    <n v="161"/>
    <x v="28"/>
    <s v="Music Video (Physical)"/>
    <n v="17.7"/>
    <n v="583.09666177300005"/>
    <n v="0.58309666177300001"/>
    <n v="32.943314224463201"/>
    <n v="583.09666177300005"/>
    <n v="17.7"/>
    <s v="Physical"/>
    <x v="8"/>
  </r>
  <r>
    <n v="162"/>
    <x v="28"/>
    <s v="Vinyl Single"/>
    <n v="5.5"/>
    <n v="55.617360812999998"/>
    <n v="5.5617360812999998E-2"/>
    <n v="10.112247420545399"/>
    <n v="55.617360812999998"/>
    <n v="5.5"/>
    <s v="Physical"/>
    <x v="4"/>
  </r>
  <r>
    <n v="163"/>
    <x v="29"/>
    <s v="CD"/>
    <n v="803.3"/>
    <n v="21001.121094497001"/>
    <n v="21.001121094497002"/>
    <n v="26.143559186476999"/>
    <n v="21001.121094497001"/>
    <n v="803.3"/>
    <s v="Physical"/>
    <x v="5"/>
  </r>
  <r>
    <n v="164"/>
    <x v="29"/>
    <s v="CD Single"/>
    <n v="4.5"/>
    <n v="34.176233463000003"/>
    <n v="3.4176233463E-2"/>
    <n v="7.5947185473333301"/>
    <n v="34.176233463000003"/>
    <n v="4.5"/>
    <s v="Physical"/>
    <x v="7"/>
  </r>
  <r>
    <n v="165"/>
    <x v="29"/>
    <s v="Cassette"/>
    <n v="31.1"/>
    <n v="365.82519288499998"/>
    <n v="0.36582519288499998"/>
    <n v="11.762867938424399"/>
    <n v="365.82519288499998"/>
    <n v="31.1"/>
    <s v="Physical"/>
    <x v="1"/>
  </r>
  <r>
    <n v="166"/>
    <x v="29"/>
    <s v="Cassette Single"/>
    <n v="-0.5"/>
    <m/>
    <m/>
    <m/>
    <m/>
    <n v="-0.5"/>
    <s v="Physical"/>
    <x v="6"/>
  </r>
  <r>
    <n v="167"/>
    <x v="29"/>
    <s v="DVD Audio"/>
    <n v="0.43"/>
    <n v="14.821325737"/>
    <n v="1.4821325737000001E-2"/>
    <n v="34.468199388372"/>
    <n v="14.821325737"/>
    <n v="0.43"/>
    <s v="Physical"/>
    <x v="9"/>
  </r>
  <r>
    <n v="168"/>
    <x v="29"/>
    <s v="LP/EP"/>
    <n v="1.7430000000000001"/>
    <n v="35.745550305999998"/>
    <n v="3.5745550305999997E-2"/>
    <n v="20.508060990246602"/>
    <n v="35.745550305999998"/>
    <n v="1.7430000000000001"/>
    <s v="Physical"/>
    <x v="2"/>
  </r>
  <r>
    <n v="169"/>
    <x v="29"/>
    <s v="Music Video (Physical)"/>
    <n v="14.7"/>
    <n v="502.87886381300001"/>
    <n v="0.50287886381299995"/>
    <n v="34.209446517891102"/>
    <n v="502.87886381300001"/>
    <n v="14.7"/>
    <s v="Physical"/>
    <x v="8"/>
  </r>
  <r>
    <n v="170"/>
    <x v="29"/>
    <s v="Vinyl Single"/>
    <n v="4.4000000000000004"/>
    <n v="43.417765981000002"/>
    <n v="4.3417765981000001E-2"/>
    <n v="9.8676740865909096"/>
    <n v="43.417765981000002"/>
    <n v="4.4000000000000004"/>
    <s v="Physical"/>
    <x v="4"/>
  </r>
  <r>
    <n v="171"/>
    <x v="30"/>
    <s v="CD"/>
    <n v="746"/>
    <n v="19150.202000542999"/>
    <n v="19.150202000543"/>
    <n v="25.670512065071001"/>
    <n v="19150.202000542999"/>
    <n v="746"/>
    <s v="Physical"/>
    <x v="5"/>
  </r>
  <r>
    <n v="172"/>
    <x v="30"/>
    <s v="CD Single"/>
    <n v="8.3000000000000007"/>
    <n v="61.373934783000003"/>
    <n v="6.1373934783000003E-2"/>
    <n v="7.3944499738554201"/>
    <n v="61.373934783000003"/>
    <n v="8.3000000000000007"/>
    <s v="Physical"/>
    <x v="7"/>
  </r>
  <r>
    <n v="173"/>
    <x v="30"/>
    <s v="Cassette"/>
    <n v="17.2"/>
    <n v="184.29228749999999"/>
    <n v="0.18429228749999901"/>
    <n v="10.7146678779069"/>
    <n v="184.29228749999999"/>
    <n v="17.2"/>
    <s v="Physical"/>
    <x v="1"/>
  </r>
  <r>
    <n v="174"/>
    <x v="30"/>
    <s v="DVD Audio"/>
    <n v="0.4"/>
    <n v="13.638652174000001"/>
    <n v="1.3638652174E-2"/>
    <n v="34.096630435000002"/>
    <n v="13.638652174000001"/>
    <n v="0.4"/>
    <s v="Physical"/>
    <x v="9"/>
  </r>
  <r>
    <n v="175"/>
    <x v="30"/>
    <s v="LP/EP"/>
    <n v="1.5"/>
    <n v="36.994844022000002"/>
    <n v="3.6994844021999998E-2"/>
    <n v="24.663229348000002"/>
    <n v="36.994844022000002"/>
    <n v="1.5"/>
    <s v="Physical"/>
    <x v="2"/>
  </r>
  <r>
    <n v="176"/>
    <x v="30"/>
    <s v="Music Video (Physical)"/>
    <n v="19.899999999999999"/>
    <n v="681.76212554300002"/>
    <n v="0.68176212554299997"/>
    <n v="34.259403293618"/>
    <n v="681.76212554300002"/>
    <n v="19.899999999999999"/>
    <s v="Physical"/>
    <x v="8"/>
  </r>
  <r>
    <n v="177"/>
    <x v="30"/>
    <s v="SACD"/>
    <n v="1.3"/>
    <n v="44.837069022000001"/>
    <n v="4.4837069021999999E-2"/>
    <n v="34.4900530938461"/>
    <n v="44.837069022000001"/>
    <n v="1.3"/>
    <s v="Physical"/>
    <x v="10"/>
  </r>
  <r>
    <n v="178"/>
    <x v="30"/>
    <s v="Vinyl Single"/>
    <n v="3.8"/>
    <n v="36.653877717"/>
    <n v="3.6653877717000002E-2"/>
    <n v="9.6457572939473692"/>
    <n v="36.653877717"/>
    <n v="3.8"/>
    <s v="Physical"/>
    <x v="4"/>
  </r>
  <r>
    <n v="179"/>
    <x v="31"/>
    <s v="CD"/>
    <n v="767"/>
    <n v="19008.158488617999"/>
    <n v="19.008158488618001"/>
    <n v="24.782475213322002"/>
    <n v="19008.158488617999"/>
    <n v="767"/>
    <s v="Physical"/>
    <x v="5"/>
  </r>
  <r>
    <n v="180"/>
    <x v="31"/>
    <s v="CD Single"/>
    <n v="3.1"/>
    <n v="24.909131815999999"/>
    <n v="2.4909131815999901E-2"/>
    <n v="8.0352038116129005"/>
    <n v="24.909131815999999"/>
    <n v="3.1"/>
    <s v="Physical"/>
    <x v="7"/>
  </r>
  <r>
    <n v="181"/>
    <x v="31"/>
    <s v="Cassette"/>
    <n v="5.2"/>
    <n v="39.356428268999998"/>
    <n v="3.9356428269000002E-2"/>
    <n v="7.5685438978846102"/>
    <n v="39.356428268999998"/>
    <n v="5.2"/>
    <s v="Physical"/>
    <x v="1"/>
  </r>
  <r>
    <n v="182"/>
    <x v="31"/>
    <s v="DVD Audio"/>
    <n v="0.3"/>
    <n v="10.79395712"/>
    <n v="1.0793957119999999E-2"/>
    <n v="35.979857066666597"/>
    <n v="10.79395712"/>
    <n v="0.3"/>
    <s v="Physical"/>
    <x v="9"/>
  </r>
  <r>
    <n v="183"/>
    <x v="31"/>
    <s v="Download Album"/>
    <n v="4.5999999999999996"/>
    <n v="75.557699841000002"/>
    <n v="7.5557699840999998E-2"/>
    <n v="16.425586921956501"/>
    <n v="75.557699841000002"/>
    <n v="4.5999999999999996"/>
    <s v="Other"/>
    <x v="11"/>
  </r>
  <r>
    <n v="184"/>
    <x v="31"/>
    <s v="Download Single"/>
    <n v="139.4"/>
    <n v="229.164012705"/>
    <n v="0.229164012705"/>
    <n v="1.6439312245695801"/>
    <n v="229.164012705"/>
    <n v="139.4"/>
    <s v="Other"/>
    <x v="12"/>
  </r>
  <r>
    <n v="185"/>
    <x v="31"/>
    <s v="LP/EP"/>
    <n v="1.4"/>
    <n v="32.049749603000002"/>
    <n v="3.2049749603E-2"/>
    <n v="22.892678287857098"/>
    <n v="32.049749603000002"/>
    <n v="1.4"/>
    <s v="Physical"/>
    <x v="2"/>
  </r>
  <r>
    <n v="186"/>
    <x v="31"/>
    <s v="Music Video (Physical)"/>
    <n v="32.799999999999997"/>
    <n v="1008.321655903"/>
    <n v="1.0083216559029999"/>
    <n v="30.741513899481699"/>
    <n v="1008.321655903"/>
    <n v="32.799999999999997"/>
    <s v="Physical"/>
    <x v="8"/>
  </r>
  <r>
    <n v="187"/>
    <x v="31"/>
    <s v="SACD"/>
    <n v="0.8"/>
    <n v="27.566105876000002"/>
    <n v="2.7566105875999999E-2"/>
    <n v="34.457632345"/>
    <n v="27.566105876000002"/>
    <n v="0.8"/>
    <s v="Physical"/>
    <x v="10"/>
  </r>
  <r>
    <n v="188"/>
    <x v="31"/>
    <s v="SoundExchange Distributions"/>
    <m/>
    <n v="11.458200635000001"/>
    <n v="1.1458200635E-2"/>
    <m/>
    <n v="11.458200635000001"/>
    <m/>
    <s v="Other"/>
    <x v="13"/>
  </r>
  <r>
    <n v="189"/>
    <x v="31"/>
    <s v="Vinyl Single"/>
    <n v="3.5"/>
    <n v="33.046114875999997"/>
    <n v="3.3046114875999899E-2"/>
    <n v="9.4417471074285704"/>
    <n v="33.046114875999997"/>
    <n v="3.5"/>
    <s v="Physical"/>
    <x v="4"/>
  </r>
  <r>
    <n v="190"/>
    <x v="32"/>
    <s v="CD"/>
    <n v="705.4"/>
    <n v="16897.445047619"/>
    <n v="16.897445047619001"/>
    <n v="23.954416001728099"/>
    <n v="16897.445047619"/>
    <n v="705.4"/>
    <s v="Physical"/>
    <x v="5"/>
  </r>
  <r>
    <n v="191"/>
    <x v="32"/>
    <s v="CD Single"/>
    <n v="2.8"/>
    <n v="17.507476189999998"/>
    <n v="1.7507476189999999E-2"/>
    <n v="6.2526700678571396"/>
    <n v="17.507476189999998"/>
    <n v="2.8"/>
    <s v="Physical"/>
    <x v="7"/>
  </r>
  <r>
    <n v="192"/>
    <x v="32"/>
    <s v="Cassette"/>
    <n v="2.5"/>
    <n v="21.041095238"/>
    <n v="2.1041095238000001E-2"/>
    <n v="8.4164380952000002"/>
    <n v="21.041095238"/>
    <n v="2.5"/>
    <s v="Physical"/>
    <x v="1"/>
  </r>
  <r>
    <n v="193"/>
    <x v="32"/>
    <s v="DVD Audio"/>
    <n v="0.5"/>
    <n v="17.989333333000001"/>
    <n v="1.7989333332999999E-2"/>
    <n v="35.978666666000002"/>
    <n v="17.989333333000001"/>
    <n v="0.5"/>
    <s v="Physical"/>
    <x v="9"/>
  </r>
  <r>
    <n v="194"/>
    <x v="32"/>
    <s v="Download Album"/>
    <n v="13.6"/>
    <n v="217.96004761899999"/>
    <n v="0.21796004761900001"/>
    <n v="16.026474089632298"/>
    <n v="217.96004761899999"/>
    <n v="13.6"/>
    <s v="Other"/>
    <x v="11"/>
  </r>
  <r>
    <n v="195"/>
    <x v="32"/>
    <s v="Download Music Video"/>
    <n v="1.9"/>
    <n v="5.9429047620000004"/>
    <n v="5.9429047620000001E-3"/>
    <n v="3.12784461157894"/>
    <n v="5.9429047620000004"/>
    <n v="1.9"/>
    <s v="Other"/>
    <x v="14"/>
  </r>
  <r>
    <n v="196"/>
    <x v="32"/>
    <s v="Download Single"/>
    <n v="366.9"/>
    <n v="583.529"/>
    <n v="0.58352899999999996"/>
    <n v="1.59043063505042"/>
    <n v="583.529"/>
    <n v="366.9"/>
    <s v="Other"/>
    <x v="12"/>
  </r>
  <r>
    <n v="197"/>
    <x v="32"/>
    <s v="Kiosk"/>
    <n v="0.7"/>
    <n v="1.6061904760000001"/>
    <n v="1.606190476E-3"/>
    <n v="2.2945578228571399"/>
    <n v="1.6061904760000001"/>
    <n v="0.7"/>
    <s v="Other"/>
    <x v="15"/>
  </r>
  <r>
    <n v="198"/>
    <x v="32"/>
    <s v="LP/EP"/>
    <n v="1"/>
    <n v="22.807904762"/>
    <n v="2.2807904762000002E-2"/>
    <n v="22.807904762"/>
    <n v="22.807904762"/>
    <n v="1"/>
    <s v="Physical"/>
    <x v="2"/>
  </r>
  <r>
    <n v="199"/>
    <x v="32"/>
    <s v="Music Video (Physical)"/>
    <n v="33.799999999999997"/>
    <n v="967.24790476199996"/>
    <n v="0.96724790476199995"/>
    <n v="28.616801916035499"/>
    <n v="967.24790476199996"/>
    <n v="33.799999999999997"/>
    <s v="Physical"/>
    <x v="8"/>
  </r>
  <r>
    <n v="200"/>
    <x v="32"/>
    <s v="Paid Subscription"/>
    <m/>
    <n v="239.64361904800001"/>
    <n v="0.239643619048"/>
    <m/>
    <n v="239.64361904800001"/>
    <m/>
    <s v="Streaming"/>
    <x v="16"/>
  </r>
  <r>
    <n v="201"/>
    <x v="32"/>
    <s v="Ringtones &amp; Ringbacks"/>
    <n v="170"/>
    <n v="677.16990476199999"/>
    <n v="0.67716990476200001"/>
    <n v="3.9833523809529399"/>
    <n v="677.16990476199999"/>
    <n v="170"/>
    <s v="Other"/>
    <x v="17"/>
  </r>
  <r>
    <n v="202"/>
    <x v="32"/>
    <s v="SACD"/>
    <n v="0.5"/>
    <n v="16.061904762000001"/>
    <n v="1.6061904762E-2"/>
    <n v="32.123809524000002"/>
    <n v="16.061904762000001"/>
    <n v="0.5"/>
    <s v="Physical"/>
    <x v="10"/>
  </r>
  <r>
    <n v="203"/>
    <x v="32"/>
    <s v="SoundExchange Distributions"/>
    <m/>
    <n v="32.766285713999999"/>
    <n v="3.2766285713999997E-2"/>
    <m/>
    <n v="32.766285713999999"/>
    <m/>
    <s v="Other"/>
    <x v="13"/>
  </r>
  <r>
    <n v="204"/>
    <x v="32"/>
    <s v="Vinyl Single"/>
    <n v="2.2999999999999998"/>
    <n v="21.201714286000001"/>
    <n v="2.1201714286000001E-2"/>
    <n v="9.2181366460869505"/>
    <n v="21.201714286000001"/>
    <n v="2.2999999999999998"/>
    <s v="Physical"/>
    <x v="4"/>
  </r>
  <r>
    <n v="205"/>
    <x v="33"/>
    <s v="CD"/>
    <n v="619.70000000000005"/>
    <n v="14583.737705357"/>
    <n v="14.583737705357001"/>
    <n v="23.533544788376599"/>
    <n v="14583.737705357"/>
    <n v="619.70000000000005"/>
    <s v="Physical"/>
    <x v="5"/>
  </r>
  <r>
    <n v="206"/>
    <x v="33"/>
    <s v="CD Single"/>
    <n v="1.7"/>
    <n v="11.981177083"/>
    <n v="1.1981177083E-2"/>
    <n v="7.0477512252941104"/>
    <n v="11.981177083"/>
    <n v="1.7"/>
    <s v="Physical"/>
    <x v="7"/>
  </r>
  <r>
    <n v="207"/>
    <x v="33"/>
    <s v="Cassette"/>
    <n v="0.7"/>
    <n v="5.7571889880000002"/>
    <n v="5.7571889880000003E-3"/>
    <n v="8.2245556971428506"/>
    <n v="5.7571889880000002"/>
    <n v="0.7"/>
    <s v="Physical"/>
    <x v="1"/>
  </r>
  <r>
    <n v="208"/>
    <x v="33"/>
    <s v="DVD Audio"/>
    <n v="0.1"/>
    <n v="3.734392857"/>
    <n v="3.7343928570000001E-3"/>
    <n v="37.343928569999903"/>
    <n v="3.734392857"/>
    <n v="0.1"/>
    <s v="Physical"/>
    <x v="9"/>
  </r>
  <r>
    <n v="209"/>
    <x v="33"/>
    <s v="Download Album"/>
    <n v="27.6"/>
    <n v="429.29957886900002"/>
    <n v="0.429299578869"/>
    <n v="15.554332567717299"/>
    <n v="429.29957886900002"/>
    <n v="27.6"/>
    <s v="Other"/>
    <x v="11"/>
  </r>
  <r>
    <n v="210"/>
    <x v="33"/>
    <s v="Download Music Video"/>
    <n v="9.9"/>
    <n v="30.653141369"/>
    <n v="3.0653141368999999E-2"/>
    <n v="3.09627690595959"/>
    <n v="30.653141369"/>
    <n v="9.9"/>
    <s v="Other"/>
    <x v="14"/>
  </r>
  <r>
    <n v="211"/>
    <x v="33"/>
    <s v="Download Single"/>
    <n v="586.4"/>
    <n v="903.41187202399999"/>
    <n v="0.90341187202399997"/>
    <n v="1.54060687589358"/>
    <n v="903.41187202399999"/>
    <n v="586.4"/>
    <s v="Other"/>
    <x v="12"/>
  </r>
  <r>
    <n v="212"/>
    <x v="33"/>
    <s v="Kiosk"/>
    <n v="1.4"/>
    <n v="2.9563943450000001"/>
    <n v="2.9563943450000001E-3"/>
    <n v="2.11171024642857"/>
    <n v="2.9563943450000001"/>
    <n v="1.4"/>
    <s v="Other"/>
    <x v="15"/>
  </r>
  <r>
    <n v="213"/>
    <x v="33"/>
    <s v="LP/EP"/>
    <n v="0.9"/>
    <n v="24.429153274000001"/>
    <n v="2.4429153273999998E-2"/>
    <n v="27.143503637777702"/>
    <n v="24.429153274000001"/>
    <n v="0.9"/>
    <s v="Physical"/>
    <x v="2"/>
  </r>
  <r>
    <n v="214"/>
    <x v="33"/>
    <s v="Music Video (Physical)"/>
    <n v="23.2"/>
    <n v="701.91025744000001"/>
    <n v="0.70191025744000002"/>
    <n v="30.254752475861999"/>
    <n v="701.91025744000001"/>
    <n v="23.2"/>
    <s v="Physical"/>
    <x v="8"/>
  </r>
  <r>
    <n v="215"/>
    <x v="33"/>
    <s v="Paid Subscription"/>
    <m/>
    <n v="320.84658631000002"/>
    <n v="0.32084658631000001"/>
    <m/>
    <n v="320.84658631000002"/>
    <m/>
    <s v="Streaming"/>
    <x v="16"/>
  </r>
  <r>
    <n v="216"/>
    <x v="33"/>
    <s v="Ringtones &amp; Ringbacks"/>
    <n v="315"/>
    <n v="1204.0304970239999"/>
    <n v="1.2040304970239999"/>
    <n v="3.82231903817142"/>
    <n v="1204.0304970239999"/>
    <n v="315"/>
    <s v="Other"/>
    <x v="17"/>
  </r>
  <r>
    <n v="217"/>
    <x v="33"/>
    <s v="SACD"/>
    <n v="0.3"/>
    <n v="8.5579836310000008"/>
    <n v="8.5579836310000004E-3"/>
    <n v="28.526612103333299"/>
    <n v="8.5579836310000008"/>
    <n v="0.3"/>
    <s v="Physical"/>
    <x v="10"/>
  </r>
  <r>
    <n v="218"/>
    <x v="33"/>
    <s v="SoundExchange Distributions"/>
    <m/>
    <n v="51.036702380999998"/>
    <n v="5.1036702380999999E-2"/>
    <m/>
    <n v="51.036702380999998"/>
    <m/>
    <s v="Other"/>
    <x v="13"/>
  </r>
  <r>
    <n v="219"/>
    <x v="33"/>
    <s v="Vinyl Single"/>
    <n v="1.5"/>
    <n v="15.404370536"/>
    <n v="1.5404370536E-2"/>
    <n v="10.2695803573333"/>
    <n v="15.404370536"/>
    <n v="1.5"/>
    <s v="Physical"/>
    <x v="4"/>
  </r>
  <r>
    <n v="220"/>
    <x v="34"/>
    <s v="CD"/>
    <n v="499.7"/>
    <n v="11274.63097057"/>
    <n v="11.27463097057"/>
    <n v="22.5627996209125"/>
    <n v="11274.63097057"/>
    <n v="499.7"/>
    <s v="Physical"/>
    <x v="5"/>
  </r>
  <r>
    <n v="221"/>
    <x v="34"/>
    <s v="CD Single"/>
    <n v="2.6"/>
    <n v="18.457455798000002"/>
    <n v="1.8457455798E-2"/>
    <n v="7.0990214607692304"/>
    <n v="18.457455798000002"/>
    <n v="2.6"/>
    <s v="Physical"/>
    <x v="7"/>
  </r>
  <r>
    <n v="222"/>
    <x v="34"/>
    <s v="Cassette"/>
    <n v="0.4"/>
    <n v="4.5387186389999998"/>
    <n v="4.5387186390000002E-3"/>
    <n v="11.346796597499999"/>
    <n v="4.5387186389999998"/>
    <n v="0.4"/>
    <s v="Physical"/>
    <x v="1"/>
  </r>
  <r>
    <n v="223"/>
    <x v="34"/>
    <s v="DVD Audio"/>
    <n v="0.2"/>
    <n v="4.2361373960000002"/>
    <n v="4.2361373960000002E-3"/>
    <n v="21.180686980000001"/>
    <n v="4.2361373960000002"/>
    <n v="0.2"/>
    <s v="Physical"/>
    <x v="9"/>
  </r>
  <r>
    <n v="224"/>
    <x v="34"/>
    <s v="Download Album"/>
    <n v="49.8"/>
    <n v="752.51955030800002"/>
    <n v="0.752519550308"/>
    <n v="15.110834343534099"/>
    <n v="752.51955030800002"/>
    <n v="49.8"/>
    <s v="Other"/>
    <x v="11"/>
  </r>
  <r>
    <n v="225"/>
    <x v="34"/>
    <s v="Download Music Video"/>
    <n v="14.2"/>
    <n v="42.663955203999997"/>
    <n v="4.2663955204000001E-2"/>
    <n v="3.00450388760563"/>
    <n v="42.663955203999997"/>
    <n v="14.2"/>
    <s v="Other"/>
    <x v="14"/>
  </r>
  <r>
    <n v="226"/>
    <x v="34"/>
    <s v="Download Single"/>
    <n v="819.4"/>
    <n v="1226.9669386810001"/>
    <n v="1.226966938681"/>
    <n v="1.49739680092872"/>
    <n v="1226.9669386810001"/>
    <n v="819.4"/>
    <s v="Other"/>
    <x v="12"/>
  </r>
  <r>
    <n v="227"/>
    <x v="34"/>
    <s v="Kiosk"/>
    <n v="1.8"/>
    <n v="3.9335561540000001"/>
    <n v="3.9335561539999998E-3"/>
    <n v="2.1853089744444398"/>
    <n v="3.9335561540000001"/>
    <n v="1.8"/>
    <s v="Other"/>
    <x v="15"/>
  </r>
  <r>
    <n v="228"/>
    <x v="34"/>
    <s v="LP/EP"/>
    <n v="1.3"/>
    <n v="34.645552275999997"/>
    <n v="3.4645552275999997E-2"/>
    <n v="26.650424827692301"/>
    <n v="34.645552275999997"/>
    <n v="1.3"/>
    <s v="Physical"/>
    <x v="2"/>
  </r>
  <r>
    <n v="229"/>
    <x v="34"/>
    <s v="Music Video (Physical)"/>
    <n v="27.5"/>
    <n v="733.60822264700005"/>
    <n v="0.73360822264699999"/>
    <n v="26.676662641709001"/>
    <n v="733.60822264700005"/>
    <n v="27.5"/>
    <s v="Physical"/>
    <x v="8"/>
  </r>
  <r>
    <n v="230"/>
    <x v="34"/>
    <s v="Paid Subscription"/>
    <m/>
    <n v="354.020053824"/>
    <n v="0.35402005382399998"/>
    <m/>
    <n v="354.020053824"/>
    <m/>
    <s v="Streaming"/>
    <x v="16"/>
  </r>
  <r>
    <n v="231"/>
    <x v="34"/>
    <s v="Ringtones &amp; Ringbacks"/>
    <n v="433.8"/>
    <n v="1597.3263796050001"/>
    <n v="1.5973263796049999"/>
    <n v="3.68217238267634"/>
    <n v="1597.3263796050001"/>
    <n v="433.8"/>
    <s v="Other"/>
    <x v="17"/>
  </r>
  <r>
    <n v="232"/>
    <x v="34"/>
    <s v="SACD"/>
    <n v="0.2"/>
    <n v="5.4464623669999996"/>
    <n v="5.4464623669999998E-3"/>
    <n v="27.232311834999901"/>
    <n v="5.4464623669999996"/>
    <n v="0.2"/>
    <s v="Physical"/>
    <x v="10"/>
  </r>
  <r>
    <n v="233"/>
    <x v="34"/>
    <s v="SoundExchange Distributions"/>
    <m/>
    <n v="54.767204907999997"/>
    <n v="5.4767204907999897E-2"/>
    <m/>
    <n v="54.767204907999997"/>
    <m/>
    <s v="Other"/>
    <x v="13"/>
  </r>
  <r>
    <n v="234"/>
    <x v="34"/>
    <s v="Vinyl Single"/>
    <n v="0.6"/>
    <n v="6.0516248519999998"/>
    <n v="6.0516248520000003E-3"/>
    <n v="10.086041420000001"/>
    <n v="6.0516248519999998"/>
    <n v="0.6"/>
    <s v="Physical"/>
    <x v="4"/>
  </r>
  <r>
    <n v="235"/>
    <x v="35"/>
    <s v="CD"/>
    <n v="368.4"/>
    <n v="7971.4942462480003"/>
    <n v="7.9714942462479996"/>
    <n v="21.638149419782799"/>
    <n v="7971.4942462480003"/>
    <n v="368.4"/>
    <s v="Physical"/>
    <x v="5"/>
  </r>
  <r>
    <n v="236"/>
    <x v="35"/>
    <s v="CD Single"/>
    <n v="0.7"/>
    <n v="5.09937855"/>
    <n v="5.0993785500000003E-3"/>
    <n v="7.2848265000000003"/>
    <n v="5.09937855"/>
    <n v="0.7"/>
    <s v="Physical"/>
    <x v="7"/>
  </r>
  <r>
    <n v="237"/>
    <x v="35"/>
    <s v="Cassette"/>
    <n v="0.1"/>
    <n v="1.3112687700000001"/>
    <n v="1.3112687699999999E-3"/>
    <n v="13.1126877"/>
    <n v="1.3112687700000001"/>
    <n v="0.1"/>
    <s v="Physical"/>
    <x v="1"/>
  </r>
  <r>
    <n v="238"/>
    <x v="35"/>
    <s v="DVD Audio"/>
    <n v="0.04"/>
    <n v="1.7483583599999999"/>
    <n v="1.7483583599999901E-3"/>
    <n v="43.708958999999901"/>
    <n v="1.7483583599999999"/>
    <n v="0.04"/>
    <s v="Physical"/>
    <x v="9"/>
  </r>
  <r>
    <n v="239"/>
    <x v="35"/>
    <s v="Download Album"/>
    <n v="63.6"/>
    <n v="925.61005513199996"/>
    <n v="0.92561005513200001"/>
    <n v="14.5536172190566"/>
    <n v="925.61005513199996"/>
    <n v="63.6"/>
    <s v="Other"/>
    <x v="11"/>
  </r>
  <r>
    <n v="240"/>
    <x v="35"/>
    <s v="Download Music Video"/>
    <n v="20.8"/>
    <n v="60.172666892999999"/>
    <n v="6.0172666893E-2"/>
    <n v="2.8929166775480701"/>
    <n v="60.172666892999999"/>
    <n v="20.8"/>
    <s v="Other"/>
    <x v="14"/>
  </r>
  <r>
    <n v="241"/>
    <x v="35"/>
    <s v="Download Single"/>
    <n v="1042.7"/>
    <n v="1503.8795827280001"/>
    <n v="1.503879582728"/>
    <n v="1.4422936441239"/>
    <n v="1503.8795827280001"/>
    <n v="1042.7"/>
    <s v="Other"/>
    <x v="12"/>
  </r>
  <r>
    <n v="242"/>
    <x v="35"/>
    <s v="Kiosk"/>
    <n v="1.6"/>
    <n v="3.7881097800000001"/>
    <n v="3.7881097799999999E-3"/>
    <n v="2.3675686124999999"/>
    <n v="3.7881097800000001"/>
    <n v="1.6"/>
    <s v="Other"/>
    <x v="15"/>
  </r>
  <r>
    <n v="243"/>
    <x v="35"/>
    <s v="LP/EP"/>
    <n v="2.9"/>
    <n v="82.609932513999993"/>
    <n v="8.2609932513999895E-2"/>
    <n v="28.486183625517199"/>
    <n v="82.609932513999993"/>
    <n v="2.9"/>
    <s v="Physical"/>
    <x v="2"/>
  </r>
  <r>
    <n v="244"/>
    <x v="35"/>
    <s v="Music Video (Physical)"/>
    <n v="13.2"/>
    <n v="331.16821270499997"/>
    <n v="0.33116821270499902"/>
    <n v="25.0885009625"/>
    <n v="331.16821270499997"/>
    <n v="13.2"/>
    <s v="Physical"/>
    <x v="8"/>
  </r>
  <r>
    <n v="245"/>
    <x v="35"/>
    <s v="Paid Subscription"/>
    <m/>
    <n v="322.57211743400001"/>
    <n v="0.32257211743399999"/>
    <m/>
    <n v="322.57211743400001"/>
    <m/>
    <s v="Streaming"/>
    <x v="16"/>
  </r>
  <r>
    <n v="246"/>
    <x v="35"/>
    <s v="Ringtones &amp; Ringbacks"/>
    <n v="405.1"/>
    <n v="1423.6007946939999"/>
    <n v="1.4236007946939999"/>
    <n v="3.5141959878894"/>
    <n v="1423.6007946939999"/>
    <n v="405.1"/>
    <s v="Other"/>
    <x v="17"/>
  </r>
  <r>
    <n v="247"/>
    <x v="35"/>
    <s v="SACD"/>
    <n v="0.1"/>
    <n v="4.5165924300000002"/>
    <n v="4.5165924299999998E-3"/>
    <n v="45.1659243"/>
    <n v="4.5165924300000002"/>
    <n v="0.1"/>
    <s v="Physical"/>
    <x v="10"/>
  </r>
  <r>
    <n v="248"/>
    <x v="35"/>
    <s v="SoundExchange Distributions"/>
    <m/>
    <n v="145.69653000700001"/>
    <n v="0.145696530007"/>
    <m/>
    <n v="145.69653000700001"/>
    <m/>
    <s v="Other"/>
    <x v="13"/>
  </r>
  <r>
    <n v="249"/>
    <x v="35"/>
    <s v="Vinyl Single"/>
    <n v="0.4"/>
    <n v="4.2251993700000003"/>
    <n v="4.2251993700000001E-3"/>
    <n v="10.562998425"/>
    <n v="4.2251993700000003"/>
    <n v="0.4"/>
    <s v="Physical"/>
    <x v="4"/>
  </r>
  <r>
    <n v="250"/>
    <x v="36"/>
    <s v="CD"/>
    <n v="296.60000000000002"/>
    <n v="6314.8084162639998"/>
    <n v="6.3148084162640004"/>
    <n v="21.290655483020899"/>
    <n v="6314.8084162639998"/>
    <n v="296.60000000000002"/>
    <s v="Physical"/>
    <x v="5"/>
  </r>
  <r>
    <n v="251"/>
    <x v="36"/>
    <s v="CD Single"/>
    <n v="0.9"/>
    <n v="4.5327188319999996"/>
    <n v="4.532718832E-3"/>
    <n v="5.03635425777777"/>
    <n v="4.5327188319999996"/>
    <n v="0.9"/>
    <s v="Physical"/>
    <x v="7"/>
  </r>
  <r>
    <n v="252"/>
    <x v="36"/>
    <s v="DVD Audio"/>
    <n v="0.1"/>
    <n v="2.339467784"/>
    <n v="2.3394677839999999E-3"/>
    <n v="23.39467784"/>
    <n v="2.339467784"/>
    <n v="0.1"/>
    <s v="Physical"/>
    <x v="9"/>
  </r>
  <r>
    <n v="253"/>
    <x v="36"/>
    <s v="Download Album"/>
    <n v="74.5"/>
    <n v="1088.291169822"/>
    <n v="1.0882911698219999"/>
    <n v="14.607935165395901"/>
    <n v="1088.291169822"/>
    <n v="74.5"/>
    <s v="Other"/>
    <x v="11"/>
  </r>
  <r>
    <n v="254"/>
    <x v="36"/>
    <s v="Download Music Video"/>
    <n v="20.5"/>
    <n v="59.802645231"/>
    <n v="5.9802645230999998E-2"/>
    <n v="2.9172022063902401"/>
    <n v="59.802645231"/>
    <n v="20.5"/>
    <s v="Other"/>
    <x v="14"/>
  </r>
  <r>
    <n v="255"/>
    <x v="36"/>
    <s v="Download Single"/>
    <n v="1124.4000000000001"/>
    <n v="1713.660151862"/>
    <n v="1.713660151862"/>
    <n v="1.5240663036837401"/>
    <n v="1713.660151862"/>
    <n v="1124.4000000000001"/>
    <s v="Other"/>
    <x v="12"/>
  </r>
  <r>
    <n v="256"/>
    <x v="36"/>
    <s v="Kiosk"/>
    <n v="1.7"/>
    <n v="9.2116544000000005"/>
    <n v="9.2116543999999998E-3"/>
    <n v="5.4186202352941102"/>
    <n v="9.2116544000000005"/>
    <n v="1.7"/>
    <s v="Other"/>
    <x v="15"/>
  </r>
  <r>
    <n v="257"/>
    <x v="36"/>
    <s v="LP/EP"/>
    <n v="3.5"/>
    <n v="93.286277890999997"/>
    <n v="9.3286277890999997E-2"/>
    <n v="26.6532222545714"/>
    <n v="93.286277890999997"/>
    <n v="3.5"/>
    <s v="Physical"/>
    <x v="2"/>
  </r>
  <r>
    <n v="258"/>
    <x v="36"/>
    <s v="Music Video (Physical)"/>
    <n v="11.6"/>
    <n v="306.47027971900002"/>
    <n v="0.30647027971899998"/>
    <n v="26.4198516999137"/>
    <n v="306.47027971900002"/>
    <n v="11.6"/>
    <s v="Physical"/>
    <x v="8"/>
  </r>
  <r>
    <n v="259"/>
    <x v="36"/>
    <s v="Paid Subscription"/>
    <m/>
    <n v="301.49891067700003"/>
    <n v="0.30149891067700002"/>
    <m/>
    <n v="301.49891067700003"/>
    <m/>
    <s v="Streaming"/>
    <x v="16"/>
  </r>
  <r>
    <n v="260"/>
    <x v="36"/>
    <s v="Ringtones &amp; Ringbacks"/>
    <n v="294.3"/>
    <n v="1027.611224171"/>
    <n v="1.027611224171"/>
    <n v="3.4917132999354399"/>
    <n v="1027.611224171"/>
    <n v="294.3"/>
    <s v="Other"/>
    <x v="17"/>
  </r>
  <r>
    <n v="261"/>
    <x v="36"/>
    <s v="SACD"/>
    <n v="0.1"/>
    <n v="3.509201676"/>
    <n v="3.5092016759999999E-3"/>
    <n v="35.09201676"/>
    <n v="3.509201676"/>
    <n v="0.1"/>
    <s v="Physical"/>
    <x v="10"/>
  </r>
  <r>
    <n v="262"/>
    <x v="36"/>
    <s v="SoundExchange Distributions"/>
    <m/>
    <n v="227.36702526799999"/>
    <n v="0.22736702526799901"/>
    <m/>
    <n v="227.36702526799999"/>
    <m/>
    <s v="Other"/>
    <x v="13"/>
  </r>
  <r>
    <n v="263"/>
    <x v="36"/>
    <s v="Synchronization"/>
    <m/>
    <n v="294.188073852"/>
    <n v="0.29418807385200002"/>
    <m/>
    <n v="294.188073852"/>
    <m/>
    <s v="Other"/>
    <x v="18"/>
  </r>
  <r>
    <n v="264"/>
    <x v="36"/>
    <s v="Vinyl Single"/>
    <n v="0.3"/>
    <n v="3.655418413"/>
    <n v="3.6554184130000002E-3"/>
    <n v="12.184728043333299"/>
    <n v="3.655418413"/>
    <n v="0.3"/>
    <s v="Physical"/>
    <x v="4"/>
  </r>
  <r>
    <n v="265"/>
    <x v="37"/>
    <s v="CD"/>
    <n v="253"/>
    <n v="4875.8919571120005"/>
    <n v="4.8758919571119996"/>
    <n v="19.272300225739102"/>
    <n v="4875.8919571120005"/>
    <n v="253"/>
    <s v="Physical"/>
    <x v="5"/>
  </r>
  <r>
    <n v="266"/>
    <x v="37"/>
    <s v="CD Single"/>
    <n v="1"/>
    <n v="4.1718553949999997"/>
    <n v="4.1718553950000001E-3"/>
    <n v="4.1718553949999997"/>
    <n v="4.1718553949999997"/>
    <n v="1"/>
    <s v="Physical"/>
    <x v="7"/>
  </r>
  <r>
    <n v="267"/>
    <x v="37"/>
    <s v="DVD Audio"/>
    <n v="0.04"/>
    <n v="1.294713743"/>
    <n v="1.2947137429999999E-3"/>
    <n v="32.367843575000002"/>
    <n v="1.294713743"/>
    <n v="0.04"/>
    <s v="Physical"/>
    <x v="9"/>
  </r>
  <r>
    <n v="268"/>
    <x v="37"/>
    <s v="Download Album"/>
    <n v="85.8"/>
    <n v="1255.0091884650001"/>
    <n v="1.2550091884650001"/>
    <n v="14.6271467187062"/>
    <n v="1255.0091884650001"/>
    <n v="85.8"/>
    <s v="Other"/>
    <x v="11"/>
  </r>
  <r>
    <n v="269"/>
    <x v="37"/>
    <s v="Download Music Video"/>
    <n v="18.399999999999999"/>
    <n v="52.651692226000002"/>
    <n v="5.2651692226000003E-2"/>
    <n v="2.8615050122826"/>
    <n v="52.651692226000002"/>
    <n v="18.399999999999999"/>
    <s v="Other"/>
    <x v="14"/>
  </r>
  <r>
    <n v="270"/>
    <x v="37"/>
    <s v="Download Single"/>
    <n v="1177.4000000000001"/>
    <n v="1922.506051656"/>
    <n v="1.922506051656"/>
    <n v="1.6328402001494799"/>
    <n v="1922.506051656"/>
    <n v="1177.4000000000001"/>
    <s v="Other"/>
    <x v="12"/>
  </r>
  <r>
    <n v="271"/>
    <x v="37"/>
    <s v="Kiosk"/>
    <n v="1.7"/>
    <n v="9.2068532849999993"/>
    <n v="9.2068532850000002E-3"/>
    <n v="5.41579605"/>
    <n v="9.2068532849999993"/>
    <n v="1.7"/>
    <s v="Other"/>
    <x v="15"/>
  </r>
  <r>
    <n v="272"/>
    <x v="37"/>
    <s v="LP/EP"/>
    <n v="4.2"/>
    <n v="127.888946417"/>
    <n v="0.12788894641699999"/>
    <n v="30.449749146904701"/>
    <n v="127.888946417"/>
    <n v="4.2"/>
    <s v="Physical"/>
    <x v="2"/>
  </r>
  <r>
    <n v="273"/>
    <x v="37"/>
    <s v="Music Video (Physical)"/>
    <n v="9.1"/>
    <n v="255.49017867000001"/>
    <n v="0.25549017867000001"/>
    <n v="28.075843809890099"/>
    <n v="255.49017867000001"/>
    <n v="9.1"/>
    <s v="Physical"/>
    <x v="8"/>
  </r>
  <r>
    <n v="274"/>
    <x v="37"/>
    <s v="Paid Subscription"/>
    <m/>
    <n v="305.55244340899998"/>
    <n v="0.30555244340900001"/>
    <m/>
    <n v="305.55244340899998"/>
    <m/>
    <s v="Streaming"/>
    <x v="16"/>
  </r>
  <r>
    <n v="275"/>
    <x v="37"/>
    <s v="Ringtones &amp; Ringbacks"/>
    <n v="188.5"/>
    <n v="644.47972997800002"/>
    <n v="0.64447972997799996"/>
    <n v="3.4189906099628602"/>
    <n v="644.47972997800002"/>
    <n v="188.5"/>
    <s v="Other"/>
    <x v="17"/>
  </r>
  <r>
    <n v="276"/>
    <x v="37"/>
    <s v="SACD"/>
    <n v="0.1"/>
    <n v="2.4455704040000001"/>
    <n v="2.4455704039999999E-3"/>
    <n v="24.455704040000001"/>
    <n v="2.4455704040000001"/>
    <n v="0.1"/>
    <s v="Physical"/>
    <x v="10"/>
  </r>
  <r>
    <n v="277"/>
    <x v="37"/>
    <s v="SoundExchange Distributions"/>
    <m/>
    <n v="358.49184980000001"/>
    <n v="0.35849184979999998"/>
    <m/>
    <n v="358.49184980000001"/>
    <m/>
    <s v="Other"/>
    <x v="13"/>
  </r>
  <r>
    <n v="278"/>
    <x v="37"/>
    <s v="Synchronization"/>
    <m/>
    <n v="271.45831483699999"/>
    <n v="0.271458314837"/>
    <m/>
    <n v="271.45831483699999"/>
    <m/>
    <s v="Other"/>
    <x v="18"/>
  </r>
  <r>
    <n v="279"/>
    <x v="37"/>
    <s v="Vinyl Single"/>
    <n v="0.3"/>
    <n v="3.3087128990000001"/>
    <n v="3.308712899E-3"/>
    <n v="11.0290429966666"/>
    <n v="3.3087128990000001"/>
    <n v="0.3"/>
    <s v="Physical"/>
    <x v="4"/>
  </r>
  <r>
    <n v="280"/>
    <x v="38"/>
    <s v="CD"/>
    <n v="240.8"/>
    <n v="4324.0855623079997"/>
    <n v="4.3240855623079897"/>
    <n v="17.957165956428501"/>
    <n v="4324.0855623079997"/>
    <n v="240.8"/>
    <s v="Physical"/>
    <x v="5"/>
  </r>
  <r>
    <n v="281"/>
    <x v="38"/>
    <s v="CD Single"/>
    <n v="1.3"/>
    <n v="4.8809299409999998"/>
    <n v="4.8809299410000001E-3"/>
    <n v="3.75456149307692"/>
    <n v="4.8809299409999998"/>
    <n v="1.3"/>
    <s v="Physical"/>
    <x v="7"/>
  </r>
  <r>
    <n v="282"/>
    <x v="38"/>
    <s v="DVD Audio"/>
    <n v="0.01"/>
    <n v="0.41836542399999999"/>
    <n v="4.1836542400000001E-4"/>
    <n v="41.836542399999999"/>
    <n v="0.41836542399999999"/>
    <n v="0.01"/>
    <s v="Physical"/>
    <x v="9"/>
  </r>
  <r>
    <n v="283"/>
    <x v="38"/>
    <s v="Download Album"/>
    <n v="103.9"/>
    <n v="1493.2856516659999"/>
    <n v="1.493285651666"/>
    <n v="14.3723354347064"/>
    <n v="1493.2856516659999"/>
    <n v="103.9"/>
    <s v="Other"/>
    <x v="11"/>
  </r>
  <r>
    <n v="284"/>
    <x v="38"/>
    <s v="Download Music Video"/>
    <n v="16.3"/>
    <n v="45.183465740000003"/>
    <n v="4.5183465739999998E-2"/>
    <n v="2.7719917631901798"/>
    <n v="45.183465740000003"/>
    <n v="16.3"/>
    <s v="Other"/>
    <x v="14"/>
  </r>
  <r>
    <n v="285"/>
    <x v="38"/>
    <s v="Download Single"/>
    <n v="1332.3"/>
    <n v="2123.065069197"/>
    <n v="2.1230650691970001"/>
    <n v="1.5935337905854501"/>
    <n v="2123.065069197"/>
    <n v="1332.3"/>
    <s v="Other"/>
    <x v="12"/>
  </r>
  <r>
    <n v="286"/>
    <x v="38"/>
    <s v="Kiosk"/>
    <n v="1.3"/>
    <n v="3.7652888120000001"/>
    <n v="3.7652888120000001E-3"/>
    <n v="2.8963760092307602"/>
    <n v="3.7652888120000001"/>
    <n v="1.3"/>
    <s v="Other"/>
    <x v="15"/>
  </r>
  <r>
    <n v="287"/>
    <x v="38"/>
    <s v="LP/EP"/>
    <n v="5.5"/>
    <n v="166.50943855899999"/>
    <n v="0.16650943855899999"/>
    <n v="30.274443374363599"/>
    <n v="166.50943855899999"/>
    <n v="5.5"/>
    <s v="Physical"/>
    <x v="2"/>
  </r>
  <r>
    <n v="288"/>
    <x v="38"/>
    <s v="Music Video (Physical)"/>
    <n v="7.7"/>
    <n v="210.57726316899999"/>
    <n v="0.210577263169"/>
    <n v="27.347696515454501"/>
    <n v="210.57726316899999"/>
    <n v="7.7"/>
    <s v="Physical"/>
    <x v="8"/>
  </r>
  <r>
    <n v="289"/>
    <x v="38"/>
    <s v="On-Demand Streaming (Ad-Supported)"/>
    <m/>
    <n v="158.699950653"/>
    <n v="0.15869995065299999"/>
    <m/>
    <n v="158.699950653"/>
    <m/>
    <s v="Streaming"/>
    <x v="16"/>
  </r>
  <r>
    <n v="290"/>
    <x v="38"/>
    <s v="Paid Subscription"/>
    <m/>
    <n v="345.569839823"/>
    <n v="0.34556983982299999"/>
    <m/>
    <n v="345.569839823"/>
    <m/>
    <s v="Streaming"/>
    <x v="16"/>
  </r>
  <r>
    <n v="291"/>
    <x v="38"/>
    <s v="Ringtones &amp; Ringbacks"/>
    <n v="115.4"/>
    <n v="385.17509991600002"/>
    <n v="0.38517509991600002"/>
    <n v="3.3377391673830101"/>
    <n v="385.17509991600002"/>
    <n v="115.4"/>
    <s v="Other"/>
    <x v="17"/>
  </r>
  <r>
    <n v="292"/>
    <x v="38"/>
    <s v="SACD"/>
    <n v="0.1"/>
    <n v="2.0918271179999999"/>
    <n v="2.0918271180000001E-3"/>
    <n v="20.918271179999898"/>
    <n v="2.0918271179999999"/>
    <n v="0.1"/>
    <s v="Physical"/>
    <x v="10"/>
  </r>
  <r>
    <n v="293"/>
    <x v="38"/>
    <s v="SoundExchange Distributions"/>
    <m/>
    <n v="407.20901222100002"/>
    <n v="0.40720901222099998"/>
    <m/>
    <n v="407.20901222100002"/>
    <m/>
    <s v="Other"/>
    <x v="13"/>
  </r>
  <r>
    <n v="294"/>
    <x v="38"/>
    <s v="Synchronization"/>
    <m/>
    <n v="274.02935240199997"/>
    <n v="0.27402935240199999"/>
    <m/>
    <n v="274.02935240199997"/>
    <m/>
    <s v="Other"/>
    <x v="18"/>
  </r>
  <r>
    <n v="295"/>
    <x v="38"/>
    <s v="Vinyl Single"/>
    <n v="0.4"/>
    <n v="6.414936494"/>
    <n v="6.4149364940000002E-3"/>
    <n v="16.037341235"/>
    <n v="6.414936494"/>
    <n v="0.4"/>
    <s v="Physical"/>
    <x v="4"/>
  </r>
  <r>
    <n v="296"/>
    <x v="39"/>
    <s v="CD"/>
    <n v="198.164387234"/>
    <n v="3396.0381775730002"/>
    <n v="3.3960381775730002"/>
    <n v="17.1374797710893"/>
    <n v="3396.0381775730002"/>
    <n v="198.164387234"/>
    <s v="Physical"/>
    <x v="5"/>
  </r>
  <r>
    <n v="297"/>
    <x v="39"/>
    <s v="CD Single"/>
    <n v="1.0728704069999999"/>
    <n v="4.4063702930000002"/>
    <n v="4.4063702929999999E-3"/>
    <n v="4.1070853145453503"/>
    <n v="4.4063702930000002"/>
    <n v="1.0728704069999999"/>
    <s v="Physical"/>
    <x v="7"/>
  </r>
  <r>
    <n v="298"/>
    <x v="39"/>
    <s v="DVD Audio"/>
    <n v="8.5331450000000007E-3"/>
    <n v="0.25017486999999999"/>
    <n v="2.5017486999999997E-4"/>
    <n v="29.318014635869801"/>
    <n v="0.25017486999999999"/>
    <n v="8.5331450000000007E-3"/>
    <s v="Physical"/>
    <x v="9"/>
  </r>
  <r>
    <n v="299"/>
    <x v="39"/>
    <s v="Download Album"/>
    <n v="116.733631841"/>
    <n v="1646.120910996"/>
    <n v="1.646120910996"/>
    <n v="14.1015137200403"/>
    <n v="1646.120910996"/>
    <n v="116.733631841"/>
    <s v="Other"/>
    <x v="11"/>
  </r>
  <r>
    <n v="300"/>
    <x v="39"/>
    <s v="Download Music Video"/>
    <n v="10.473489000000001"/>
    <n v="28.476275733000001"/>
    <n v="2.8476275733E-2"/>
    <n v="2.71889107182907"/>
    <n v="28.476275733000001"/>
    <n v="10.473489000000001"/>
    <s v="Other"/>
    <x v="14"/>
  </r>
  <r>
    <n v="301"/>
    <x v="39"/>
    <s v="Download Single"/>
    <n v="1402.739373351"/>
    <n v="2246.9390365419999"/>
    <n v="2.2469390365419999"/>
    <n v="1.60182217682697"/>
    <n v="2246.9390365419999"/>
    <n v="1402.739373351"/>
    <s v="Other"/>
    <x v="12"/>
  </r>
  <r>
    <n v="302"/>
    <x v="39"/>
    <s v="Kiosk"/>
    <n v="1.9550700000000001"/>
    <n v="4.9924649419999998"/>
    <n v="4.992464942E-3"/>
    <n v="2.5535990742019399"/>
    <n v="4.9924649419999998"/>
    <n v="1.9550700000000001"/>
    <s v="Other"/>
    <x v="15"/>
  </r>
  <r>
    <n v="303"/>
    <x v="39"/>
    <s v="LP/EP"/>
    <n v="6.9153651890000001"/>
    <n v="219.59221683600001"/>
    <n v="0.219592216836"/>
    <n v="31.754247365749599"/>
    <n v="219.59221683600001"/>
    <n v="6.9153651890000001"/>
    <s v="Physical"/>
    <x v="2"/>
  </r>
  <r>
    <n v="304"/>
    <x v="39"/>
    <s v="Music Video (Physical)"/>
    <n v="6.0327254669999997"/>
    <n v="159.32655338800001"/>
    <n v="0.159326553388"/>
    <n v="26.410376911653302"/>
    <n v="159.32655338800001"/>
    <n v="6.0327254669999997"/>
    <s v="Physical"/>
    <x v="8"/>
  </r>
  <r>
    <n v="305"/>
    <x v="39"/>
    <s v="On-Demand Streaming (Ad-Supported)"/>
    <m/>
    <n v="233.545115888"/>
    <n v="0.233545115888"/>
    <m/>
    <n v="233.545115888"/>
    <m/>
    <s v="Streaming"/>
    <x v="16"/>
  </r>
  <r>
    <n v="306"/>
    <x v="39"/>
    <s v="Paid Subscription"/>
    <m/>
    <n v="546.35030225100002"/>
    <n v="0.54635030225100001"/>
    <m/>
    <n v="546.35030225100002"/>
    <m/>
    <s v="Streaming"/>
    <x v="16"/>
  </r>
  <r>
    <n v="307"/>
    <x v="39"/>
    <s v="Ringtones &amp; Ringbacks"/>
    <n v="58.757403556"/>
    <n v="199.46678842700001"/>
    <n v="0.199466788427"/>
    <n v="3.39475157776319"/>
    <n v="199.46678842700001"/>
    <n v="58.757403556"/>
    <s v="Other"/>
    <x v="17"/>
  </r>
  <r>
    <n v="308"/>
    <x v="39"/>
    <s v="SACD"/>
    <n v="6.5446000000000004E-2"/>
    <n v="1.8342268639999999"/>
    <n v="1.834226864E-3"/>
    <n v="28.026569446566601"/>
    <n v="1.8342268639999999"/>
    <n v="6.5446000000000004E-2"/>
    <s v="Physical"/>
    <x v="10"/>
  </r>
  <r>
    <n v="309"/>
    <x v="39"/>
    <s v="SoundExchange Distributions"/>
    <m/>
    <n v="631.21997090499997"/>
    <n v="0.63121997090499904"/>
    <m/>
    <n v="631.21997090499997"/>
    <m/>
    <s v="Other"/>
    <x v="13"/>
  </r>
  <r>
    <n v="310"/>
    <x v="39"/>
    <s v="Synchronization"/>
    <m/>
    <n v="260.40932489900001"/>
    <n v="0.26040932489899998"/>
    <m/>
    <n v="260.40932489900001"/>
    <m/>
    <s v="Other"/>
    <x v="18"/>
  </r>
  <r>
    <n v="311"/>
    <x v="39"/>
    <s v="Vinyl Single"/>
    <n v="0.388573687"/>
    <n v="6.4803281449999997"/>
    <n v="6.4803281449999899E-3"/>
    <n v="16.677218148844901"/>
    <n v="6.4803281449999997"/>
    <n v="0.388573687"/>
    <s v="Physical"/>
    <x v="4"/>
  </r>
  <r>
    <n v="312"/>
    <x v="40"/>
    <s v="CD"/>
    <n v="173.79330290600001"/>
    <n v="2882.8596612000001"/>
    <n v="2.8828596611999999"/>
    <n v="16.58786393374"/>
    <n v="2882.8596612000001"/>
    <n v="173.79330290600001"/>
    <s v="Physical"/>
    <x v="5"/>
  </r>
  <r>
    <n v="313"/>
    <x v="40"/>
    <s v="CD Single"/>
    <n v="0.62889539800000005"/>
    <n v="3.293315352"/>
    <n v="3.2933153520000001E-3"/>
    <n v="5.2366663239599598"/>
    <n v="3.293315352"/>
    <n v="0.62889539800000005"/>
    <s v="Physical"/>
    <x v="7"/>
  </r>
  <r>
    <n v="314"/>
    <x v="40"/>
    <s v="DVD Audio"/>
    <n v="-5.4735168000000001E-2"/>
    <m/>
    <m/>
    <m/>
    <m/>
    <n v="-5.4735168000000001E-2"/>
    <s v="Physical"/>
    <x v="9"/>
  </r>
  <r>
    <n v="315"/>
    <x v="40"/>
    <s v="Download Album"/>
    <n v="117.979213042"/>
    <n v="1659.1417096380001"/>
    <n v="1.6591417096379999"/>
    <n v="14.0630003104644"/>
    <n v="1659.1417096380001"/>
    <n v="117.979213042"/>
    <s v="Other"/>
    <x v="11"/>
  </r>
  <r>
    <n v="316"/>
    <x v="40"/>
    <s v="Download Music Video"/>
    <n v="8.4124639999999999"/>
    <n v="22.542382294999999"/>
    <n v="2.2542382295E-2"/>
    <n v="2.6796408632476698"/>
    <n v="22.542382294999999"/>
    <n v="8.4124639999999999"/>
    <s v="Other"/>
    <x v="14"/>
  </r>
  <r>
    <n v="317"/>
    <x v="40"/>
    <s v="Download Single"/>
    <n v="1332.7953657329999"/>
    <n v="2118.6944973939999"/>
    <n v="2.1186944973939998"/>
    <n v="1.5896622631402799"/>
    <n v="2118.6944973939999"/>
    <n v="1332.7953657329999"/>
    <s v="Other"/>
    <x v="12"/>
  </r>
  <r>
    <n v="318"/>
    <x v="40"/>
    <s v="Kiosk"/>
    <n v="3.7442000000000002"/>
    <n v="8.3265519179999998"/>
    <n v="8.3265519180000004E-3"/>
    <n v="2.2238534047326501"/>
    <n v="8.3265519179999998"/>
    <n v="3.7442000000000002"/>
    <s v="Other"/>
    <x v="15"/>
  </r>
  <r>
    <n v="319"/>
    <x v="40"/>
    <s v="LP/EP"/>
    <n v="9.3512858699999999"/>
    <n v="283.77134913200001"/>
    <n v="0.28377134913199997"/>
    <n v="30.3457035831158"/>
    <n v="283.77134913200001"/>
    <n v="9.3512858699999999"/>
    <s v="Physical"/>
    <x v="2"/>
  </r>
  <r>
    <n v="320"/>
    <x v="40"/>
    <s v="Music Video (Physical)"/>
    <n v="4.8146265240000004"/>
    <n v="143.11590211800001"/>
    <n v="0.14311590211799999"/>
    <n v="29.7252344298346"/>
    <n v="143.11590211800001"/>
    <n v="4.8146265240000004"/>
    <s v="Physical"/>
    <x v="8"/>
  </r>
  <r>
    <n v="321"/>
    <x v="40"/>
    <s v="On-Demand Streaming (Ad-Supported)"/>
    <m/>
    <n v="297.41798399599998"/>
    <n v="0.297417983996"/>
    <m/>
    <n v="297.41798399599998"/>
    <m/>
    <s v="Streaming"/>
    <x v="16"/>
  </r>
  <r>
    <n v="322"/>
    <x v="40"/>
    <s v="Paid Subscription"/>
    <m/>
    <n v="866.27039674900004"/>
    <n v="0.86627039674899997"/>
    <m/>
    <n v="866.27039674900004"/>
    <m/>
    <s v="Streaming"/>
    <x v="16"/>
  </r>
  <r>
    <n v="323"/>
    <x v="40"/>
    <s v="Ringtones &amp; Ringbacks"/>
    <n v="39.366235777999997"/>
    <n v="131.96169418900001"/>
    <n v="0.131961694189"/>
    <n v="3.3521542403286402"/>
    <n v="131.96169418900001"/>
    <n v="39.366235777999997"/>
    <s v="Other"/>
    <x v="17"/>
  </r>
  <r>
    <n v="324"/>
    <x v="40"/>
    <s v="SACD"/>
    <n v="4.4683E-2"/>
    <n v="1.3174442470000001"/>
    <n v="1.317444247E-3"/>
    <n v="29.484238905176401"/>
    <n v="1.3174442470000001"/>
    <n v="4.4683E-2"/>
    <s v="Physical"/>
    <x v="10"/>
  </r>
  <r>
    <n v="325"/>
    <x v="40"/>
    <s v="SoundExchange Distributions"/>
    <m/>
    <n v="795.00502496199999"/>
    <n v="0.79500502496199998"/>
    <m/>
    <n v="795.00502496199999"/>
    <m/>
    <s v="Other"/>
    <x v="13"/>
  </r>
  <r>
    <n v="326"/>
    <x v="40"/>
    <s v="Synchronization"/>
    <m/>
    <n v="255.41345386500001"/>
    <n v="0.25541345386499997"/>
    <m/>
    <n v="255.41345386500001"/>
    <m/>
    <s v="Other"/>
    <x v="18"/>
  </r>
  <r>
    <n v="327"/>
    <x v="40"/>
    <s v="Vinyl Single"/>
    <n v="0.31581705399999999"/>
    <n v="4.0112974709999998"/>
    <n v="4.0112974709999999E-3"/>
    <n v="12.7013326867395"/>
    <n v="4.0112974709999998"/>
    <n v="0.31581705399999999"/>
    <s v="Physical"/>
    <x v="4"/>
  </r>
  <r>
    <n v="328"/>
    <x v="41"/>
    <s v="CD"/>
    <n v="138.702363357"/>
    <n v="2353.633896543"/>
    <n v="2.3536338965430001"/>
    <n v="16.9689530847076"/>
    <n v="2353.633896543"/>
    <n v="138.702363357"/>
    <s v="Physical"/>
    <x v="5"/>
  </r>
  <r>
    <n v="329"/>
    <x v="41"/>
    <s v="CD Single"/>
    <n v="0.92872511599999996"/>
    <n v="4.7914313870000003"/>
    <n v="4.7914313870000003E-3"/>
    <n v="5.1591491437602004"/>
    <n v="4.7914313870000003"/>
    <n v="0.92872511599999996"/>
    <s v="Physical"/>
    <x v="7"/>
  </r>
  <r>
    <n v="330"/>
    <x v="41"/>
    <s v="DVD Audio"/>
    <n v="6.6542721999999999E-2"/>
    <n v="2.8349104660000002"/>
    <n v="2.8349104659999998E-3"/>
    <n v="42.602862954719498"/>
    <n v="2.8349104660000002"/>
    <n v="6.6542721999999999E-2"/>
    <s v="Physical"/>
    <x v="9"/>
  </r>
  <r>
    <n v="331"/>
    <x v="41"/>
    <s v="Download Album"/>
    <n v="114.230470801"/>
    <n v="1481.2826771980001"/>
    <n v="1.4812826771980001"/>
    <n v="12.967491657970401"/>
    <n v="1481.2826771980001"/>
    <n v="114.230470801"/>
    <s v="Other"/>
    <x v="11"/>
  </r>
  <r>
    <n v="332"/>
    <x v="41"/>
    <s v="Download Music Video"/>
    <n v="6.82264392"/>
    <n v="17.990393294"/>
    <n v="1.7990393293999998E-2"/>
    <n v="2.63686534207987"/>
    <n v="17.990393294"/>
    <n v="6.82264392"/>
    <s v="Other"/>
    <x v="14"/>
  </r>
  <r>
    <n v="333"/>
    <x v="41"/>
    <s v="Download Single"/>
    <n v="1154.3793268700001"/>
    <n v="1795.8929140319999"/>
    <n v="1.7958929140319999"/>
    <n v="1.5557216525190201"/>
    <n v="1795.8929140319999"/>
    <n v="1154.3793268700001"/>
    <s v="Other"/>
    <x v="12"/>
  </r>
  <r>
    <n v="334"/>
    <x v="41"/>
    <s v="Kiosk"/>
    <n v="1.5920733579999999"/>
    <n v="3.4221432489999999"/>
    <n v="3.4221432489999898E-3"/>
    <n v="2.1494884213746102"/>
    <n v="3.4221432489999999"/>
    <n v="1.5920733579999999"/>
    <s v="Other"/>
    <x v="15"/>
  </r>
  <r>
    <n v="335"/>
    <x v="41"/>
    <s v="LP/EP"/>
    <n v="10.315563906"/>
    <n v="323.11128856099998"/>
    <n v="0.32311128856099902"/>
    <n v="31.322697576723201"/>
    <n v="323.11128856099998"/>
    <n v="10.315563906"/>
    <s v="Physical"/>
    <x v="2"/>
  </r>
  <r>
    <n v="336"/>
    <x v="41"/>
    <s v="Music Video (Physical)"/>
    <n v="4.0653236010000002"/>
    <n v="118.86512252199999"/>
    <n v="0.118865122521999"/>
    <n v="29.238784950049499"/>
    <n v="118.86512252199999"/>
    <n v="4.0653236010000002"/>
    <s v="Physical"/>
    <x v="8"/>
  </r>
  <r>
    <n v="337"/>
    <x v="41"/>
    <s v="On-Demand Streaming (Ad-Supported)"/>
    <m/>
    <n v="376.04281052300001"/>
    <n v="0.37604281052299998"/>
    <m/>
    <n v="376.04281052300001"/>
    <m/>
    <s v="Streaming"/>
    <x v="16"/>
  </r>
  <r>
    <n v="338"/>
    <x v="41"/>
    <s v="Paid Subscription"/>
    <m/>
    <n v="1020.6533920529999"/>
    <n v="1.0206533920529901"/>
    <m/>
    <n v="1020.6533920529999"/>
    <m/>
    <s v="Streaming"/>
    <x v="16"/>
  </r>
  <r>
    <n v="339"/>
    <x v="41"/>
    <s v="Ringtones &amp; Ringbacks"/>
    <n v="26.632323682999999"/>
    <n v="87.866431607999999"/>
    <n v="8.7866431608000006E-2"/>
    <n v="3.2992401509481102"/>
    <n v="87.866431607999999"/>
    <n v="26.632323682999999"/>
    <s v="Other"/>
    <x v="17"/>
  </r>
  <r>
    <n v="340"/>
    <x v="41"/>
    <s v="SACD"/>
    <n v="3.0485999999999999E-2"/>
    <n v="1.0116096450000001"/>
    <n v="1.0116096449999999E-3"/>
    <n v="33.182760775437899"/>
    <n v="1.0116096450000001"/>
    <n v="3.0485999999999999E-2"/>
    <s v="Physical"/>
    <x v="10"/>
  </r>
  <r>
    <n v="341"/>
    <x v="41"/>
    <s v="SoundExchange Distributions"/>
    <m/>
    <n v="1024.8000836369999"/>
    <n v="1.0248000836369999"/>
    <m/>
    <n v="1024.8000836369999"/>
    <m/>
    <s v="Other"/>
    <x v="13"/>
  </r>
  <r>
    <n v="342"/>
    <x v="41"/>
    <s v="Synchronization"/>
    <m/>
    <n v="251.380915079"/>
    <n v="0.25138091507900001"/>
    <m/>
    <n v="251.380915079"/>
    <m/>
    <s v="Other"/>
    <x v="18"/>
  </r>
  <r>
    <n v="343"/>
    <x v="41"/>
    <s v="Vinyl Single"/>
    <n v="0.48119827799999998"/>
    <n v="7.286965007"/>
    <n v="7.2869650069999998E-3"/>
    <n v="15.143372992286499"/>
    <n v="7.286965007"/>
    <n v="0.48119827799999998"/>
    <s v="Physical"/>
    <x v="4"/>
  </r>
  <r>
    <n v="344"/>
    <x v="42"/>
    <s v="CD"/>
    <n v="117.144051764"/>
    <n v="1912.430204942"/>
    <n v="1.9124302049419999"/>
    <n v="16.3254572139506"/>
    <n v="1912.430204942"/>
    <n v="117.144051764"/>
    <s v="Physical"/>
    <x v="5"/>
  </r>
  <r>
    <n v="345"/>
    <x v="42"/>
    <s v="CD Single"/>
    <n v="0.38672156299999999"/>
    <n v="1.584143691"/>
    <n v="1.5841436909999999E-3"/>
    <n v="4.0963417677332803"/>
    <n v="1.584143691"/>
    <n v="0.38672156299999999"/>
    <s v="Physical"/>
    <x v="7"/>
  </r>
  <r>
    <n v="346"/>
    <x v="42"/>
    <s v="DVD Audio"/>
    <n v="0.179506738"/>
    <n v="7.1683153989999999"/>
    <n v="7.1683153990000003E-3"/>
    <n v="39.9334057254162"/>
    <n v="7.1683153989999999"/>
    <n v="0.179506738"/>
    <s v="Physical"/>
    <x v="9"/>
  </r>
  <r>
    <n v="347"/>
    <x v="42"/>
    <s v="Download Album"/>
    <n v="106.783884116"/>
    <n v="1408.764407788"/>
    <n v="1.4087644077879999"/>
    <n v="13.1926687201005"/>
    <n v="1408.764407788"/>
    <n v="106.783884116"/>
    <s v="Other"/>
    <x v="11"/>
  </r>
  <r>
    <n v="348"/>
    <x v="42"/>
    <s v="Download Music Video"/>
    <n v="3.2233250020000002"/>
    <n v="8.4894023710000006"/>
    <n v="8.4894023709999999E-3"/>
    <n v="2.6337407384401201"/>
    <n v="8.4894023710000006"/>
    <n v="3.2233250020000002"/>
    <s v="Other"/>
    <x v="14"/>
  </r>
  <r>
    <n v="349"/>
    <x v="42"/>
    <s v="Download Single"/>
    <n v="986.25503590000005"/>
    <n v="1568.6469570740001"/>
    <n v="1.568646957074"/>
    <n v="1.5905084384613899"/>
    <n v="1568.6469570740001"/>
    <n v="986.25503590000005"/>
    <s v="Other"/>
    <x v="12"/>
  </r>
  <r>
    <n v="350"/>
    <x v="42"/>
    <s v="Kiosk"/>
    <n v="2.202659889"/>
    <n v="4.8975053620000004"/>
    <n v="4.8975053620000002E-3"/>
    <n v="2.2234505592342901"/>
    <n v="4.8975053620000004"/>
    <n v="2.202659889"/>
    <s v="Other"/>
    <x v="15"/>
  </r>
  <r>
    <n v="351"/>
    <x v="42"/>
    <s v="LP/EP"/>
    <n v="13.68102972"/>
    <n v="441.22393719199999"/>
    <n v="0.44122393719199998"/>
    <n v="32.250784204275497"/>
    <n v="441.22393719199999"/>
    <n v="13.68102972"/>
    <s v="Physical"/>
    <x v="2"/>
  </r>
  <r>
    <n v="352"/>
    <x v="42"/>
    <s v="Music Video (Physical)"/>
    <n v="3.133228006"/>
    <n v="93.218989336999996"/>
    <n v="9.3218989336999999E-2"/>
    <n v="29.7517413857177"/>
    <n v="93.218989336999996"/>
    <n v="3.133228006"/>
    <s v="Physical"/>
    <x v="8"/>
  </r>
  <r>
    <n v="353"/>
    <x v="42"/>
    <s v="On-Demand Streaming (Ad-Supported)"/>
    <m/>
    <n v="492.324582018"/>
    <n v="0.492324582018"/>
    <m/>
    <n v="492.324582018"/>
    <m/>
    <s v="Streaming"/>
    <x v="16"/>
  </r>
  <r>
    <n v="354"/>
    <x v="42"/>
    <s v="Paid Subscription"/>
    <m/>
    <n v="1530.8890792960001"/>
    <n v="1.5308890792959999"/>
    <m/>
    <n v="1530.8890792960001"/>
    <m/>
    <s v="Streaming"/>
    <x v="16"/>
  </r>
  <r>
    <n v="355"/>
    <x v="42"/>
    <s v="Ringtones &amp; Ringbacks"/>
    <n v="21.924866053999999"/>
    <n v="72.238618310999996"/>
    <n v="7.2238618310999994E-2"/>
    <n v="3.2948259812889802"/>
    <n v="72.238618310999996"/>
    <n v="21.924866053999999"/>
    <s v="Other"/>
    <x v="17"/>
  </r>
  <r>
    <n v="356"/>
    <x v="42"/>
    <s v="SACD"/>
    <n v="4.1633000000000003E-2"/>
    <n v="1.381014787"/>
    <n v="1.381014787E-3"/>
    <n v="33.1711571830038"/>
    <n v="1.381014787"/>
    <n v="4.1633000000000003E-2"/>
    <s v="Physical"/>
    <x v="10"/>
  </r>
  <r>
    <n v="357"/>
    <x v="42"/>
    <s v="SoundExchange Distributions"/>
    <m/>
    <n v="1062.2309429280001"/>
    <n v="1.0622309429279999"/>
    <m/>
    <n v="1062.2309429280001"/>
    <m/>
    <s v="Other"/>
    <x v="13"/>
  </r>
  <r>
    <n v="358"/>
    <x v="42"/>
    <s v="Synchronization"/>
    <m/>
    <n v="268.58175608400001"/>
    <n v="0.26858175608399998"/>
    <m/>
    <n v="268.58175608400001"/>
    <m/>
    <s v="Other"/>
    <x v="18"/>
  </r>
  <r>
    <n v="359"/>
    <x v="42"/>
    <s v="Vinyl Single"/>
    <n v="0.50786991000000004"/>
    <n v="7.6139619219999997"/>
    <n v="7.6139619219999996E-3"/>
    <n v="14.9919531991962"/>
    <n v="7.6139619219999997"/>
    <n v="0.50786991000000004"/>
    <s v="Physical"/>
    <x v="4"/>
  </r>
  <r>
    <n v="360"/>
    <x v="43"/>
    <s v="CD"/>
    <n v="97.577071196999995"/>
    <n v="1477.908696388"/>
    <n v="1.4779086963879999"/>
    <n v="15.1460653436115"/>
    <n v="1477.908696388"/>
    <n v="97.577071196999995"/>
    <s v="Physical"/>
    <x v="5"/>
  </r>
  <r>
    <n v="361"/>
    <x v="43"/>
    <s v="CD Single"/>
    <n v="0.121745255"/>
    <n v="0.34400103599999998"/>
    <n v="3.4400103599999999E-4"/>
    <n v="2.8255806437794999"/>
    <n v="0.34400103599999998"/>
    <n v="0.121745255"/>
    <s v="Physical"/>
    <x v="7"/>
  </r>
  <r>
    <n v="362"/>
    <x v="43"/>
    <s v="DVD Audio"/>
    <n v="8.5898931999999997E-2"/>
    <n v="3.7060436220000001"/>
    <n v="3.7060436220000001E-3"/>
    <n v="43.144233993502901"/>
    <n v="3.7060436220000001"/>
    <n v="8.5898931999999997E-2"/>
    <s v="Physical"/>
    <x v="9"/>
  </r>
  <r>
    <n v="363"/>
    <x v="43"/>
    <s v="Download Album"/>
    <n v="85.123349892999997"/>
    <n v="1135.2521694960001"/>
    <n v="1.1352521694960001"/>
    <n v="13.3365541995587"/>
    <n v="1135.2521694960001"/>
    <n v="85.123349892999997"/>
    <s v="Other"/>
    <x v="11"/>
  </r>
  <r>
    <n v="364"/>
    <x v="43"/>
    <s v="Download Music Video"/>
    <n v="2.145427196"/>
    <n v="5.5801033069999999"/>
    <n v="5.5801033070000004E-3"/>
    <n v="2.6009287648649702"/>
    <n v="5.5801033069999999"/>
    <n v="2.145427196"/>
    <s v="Other"/>
    <x v="14"/>
  </r>
  <r>
    <n v="365"/>
    <x v="43"/>
    <s v="Download Single"/>
    <n v="743.00341378300004"/>
    <n v="1176.536636907"/>
    <n v="1.1765366369070001"/>
    <n v="1.58348752520081"/>
    <n v="1176.536636907"/>
    <n v="743.00341378300004"/>
    <s v="Other"/>
    <x v="12"/>
  </r>
  <r>
    <n v="366"/>
    <x v="43"/>
    <s v="Kiosk"/>
    <n v="1.74878121"/>
    <n v="3.8476974309999998"/>
    <n v="3.8476974309999898E-3"/>
    <n v="2.2002165902731701"/>
    <n v="3.8476974309999998"/>
    <n v="1.74878121"/>
    <s v="Other"/>
    <x v="15"/>
  </r>
  <r>
    <n v="367"/>
    <x v="43"/>
    <s v="LP/EP"/>
    <n v="14.770886025999999"/>
    <n v="464.54795381999998"/>
    <n v="0.46454795381999903"/>
    <n v="31.450242930741801"/>
    <n v="464.54795381999998"/>
    <n v="14.770886025999999"/>
    <s v="Physical"/>
    <x v="2"/>
  </r>
  <r>
    <n v="368"/>
    <x v="43"/>
    <s v="Limited Tier Paid Subscription"/>
    <m/>
    <n v="336.28146425699998"/>
    <n v="0.33628146425700001"/>
    <m/>
    <n v="336.28146425699998"/>
    <m/>
    <s v="Streaming"/>
    <x v="16"/>
  </r>
  <r>
    <n v="369"/>
    <x v="43"/>
    <s v="Music Video (Physical)"/>
    <n v="2.4955317250000002"/>
    <n v="74.398198637999997"/>
    <n v="7.4398198637999999E-2"/>
    <n v="29.812563748513298"/>
    <n v="74.398198637999997"/>
    <n v="2.4955317250000002"/>
    <s v="Physical"/>
    <x v="8"/>
  </r>
  <r>
    <n v="370"/>
    <x v="43"/>
    <s v="On-Demand Streaming (Ad-Supported)"/>
    <m/>
    <n v="623.16746573"/>
    <n v="0.62316746573000004"/>
    <m/>
    <n v="623.16746573"/>
    <m/>
    <s v="Streaming"/>
    <x v="16"/>
  </r>
  <r>
    <n v="371"/>
    <x v="43"/>
    <s v="Other Ad-Supported Streaming"/>
    <m/>
    <n v="92.320141852999996"/>
    <n v="9.2320141852999998E-2"/>
    <m/>
    <n v="92.320141852999996"/>
    <m/>
    <s v="Streaming"/>
    <x v="16"/>
  </r>
  <r>
    <n v="372"/>
    <x v="43"/>
    <s v="Other Digital"/>
    <m/>
    <n v="22.40414273"/>
    <n v="2.240414273E-2"/>
    <m/>
    <n v="22.40414273"/>
    <m/>
    <s v="Other"/>
    <x v="19"/>
  </r>
  <r>
    <n v="373"/>
    <x v="43"/>
    <s v="Paid Subscription"/>
    <m/>
    <n v="2857.6786056259998"/>
    <n v="2.857678605626"/>
    <m/>
    <n v="2857.6786056259998"/>
    <m/>
    <s v="Streaming"/>
    <x v="16"/>
  </r>
  <r>
    <n v="374"/>
    <x v="43"/>
    <s v="Ringtones &amp; Ringbacks"/>
    <n v="22.620785391999998"/>
    <n v="73.617130989000003"/>
    <n v="7.3617130988999996E-2"/>
    <n v="3.2544020781451302"/>
    <n v="73.617130989000003"/>
    <n v="22.620785391999998"/>
    <s v="Other"/>
    <x v="17"/>
  </r>
  <r>
    <n v="375"/>
    <x v="43"/>
    <s v="SACD"/>
    <n v="4.5272E-2"/>
    <n v="1.577367205"/>
    <n v="1.5773672049999999E-3"/>
    <n v="34.8420039980561"/>
    <n v="1.577367205"/>
    <n v="4.5272E-2"/>
    <s v="Physical"/>
    <x v="10"/>
  </r>
  <r>
    <n v="376"/>
    <x v="43"/>
    <s v="SoundExchange Distributions"/>
    <m/>
    <n v="1155.2567512610001"/>
    <n v="1.1552567512609999"/>
    <m/>
    <n v="1155.2567512610001"/>
    <m/>
    <s v="Other"/>
    <x v="13"/>
  </r>
  <r>
    <n v="377"/>
    <x v="43"/>
    <s v="Synchronization"/>
    <m/>
    <n v="280.79440896199998"/>
    <n v="0.28079440896199998"/>
    <m/>
    <n v="280.79440896199998"/>
    <m/>
    <s v="Other"/>
    <x v="18"/>
  </r>
  <r>
    <n v="378"/>
    <x v="43"/>
    <s v="Vinyl Single"/>
    <n v="0.40433065099999999"/>
    <n v="6.3790453229999997"/>
    <n v="6.3790453229999999E-3"/>
    <n v="15.776803730370601"/>
    <n v="6.3790453229999997"/>
    <n v="0.40433065099999999"/>
    <s v="Physical"/>
    <x v="4"/>
  </r>
  <r>
    <n v="379"/>
    <x v="44"/>
    <s v="CD"/>
    <n v="86.695372388999999"/>
    <n v="1335.9374276860001"/>
    <n v="1.3359374276860001"/>
    <n v="15.4095586750776"/>
    <n v="1335.9374276860001"/>
    <n v="86.695372388999999"/>
    <s v="Physical"/>
    <x v="5"/>
  </r>
  <r>
    <n v="380"/>
    <x v="44"/>
    <s v="CD Single"/>
    <n v="1.5918667000000001E-2"/>
    <n v="0.23334613900000001"/>
    <n v="2.3334613900000001E-4"/>
    <n v="14.658648177011299"/>
    <n v="0.23334613900000001"/>
    <n v="1.5918667000000001E-2"/>
    <s v="Physical"/>
    <x v="7"/>
  </r>
  <r>
    <n v="381"/>
    <x v="44"/>
    <s v="DVD Audio"/>
    <n v="7.2659999999999999E-3"/>
    <n v="0.39522236599999999"/>
    <n v="3.9522236599999998E-4"/>
    <n v="54.393389210019201"/>
    <n v="0.39522236599999999"/>
    <n v="7.2659999999999999E-3"/>
    <s v="Physical"/>
    <x v="9"/>
  </r>
  <r>
    <n v="382"/>
    <x v="44"/>
    <s v="Download Album"/>
    <n v="64.523437322999996"/>
    <n v="831.50090614400006"/>
    <n v="0.83150090614399996"/>
    <n v="12.8868042472933"/>
    <n v="831.50090614400006"/>
    <n v="64.523437322999996"/>
    <s v="Other"/>
    <x v="11"/>
  </r>
  <r>
    <n v="383"/>
    <x v="44"/>
    <s v="Download Music Video"/>
    <n v="1.399889693"/>
    <n v="3.5650648490000001"/>
    <n v="3.5650648489999998E-3"/>
    <n v="2.54667554652822"/>
    <n v="3.5650648490000001"/>
    <n v="1.399889693"/>
    <s v="Other"/>
    <x v="14"/>
  </r>
  <r>
    <n v="384"/>
    <x v="44"/>
    <s v="Download Single"/>
    <n v="544.82912059299997"/>
    <n v="854.70518369900003"/>
    <n v="0.85470518369899995"/>
    <n v="1.5687582608813599"/>
    <n v="854.70518369900003"/>
    <n v="544.82912059299997"/>
    <s v="Other"/>
    <x v="12"/>
  </r>
  <r>
    <n v="385"/>
    <x v="44"/>
    <s v="Kiosk"/>
    <n v="1.322377717"/>
    <n v="2.885477007"/>
    <n v="2.885477007E-3"/>
    <n v="2.1820369247797902"/>
    <n v="2.885477007"/>
    <n v="1.322377717"/>
    <s v="Other"/>
    <x v="15"/>
  </r>
  <r>
    <n v="386"/>
    <x v="44"/>
    <s v="LP/EP"/>
    <n v="15.556089168"/>
    <n v="497.19182853400002"/>
    <n v="0.49719182853400001"/>
    <n v="31.961235447065899"/>
    <n v="497.19182853400002"/>
    <n v="15.556089168"/>
    <s v="Physical"/>
    <x v="2"/>
  </r>
  <r>
    <n v="387"/>
    <x v="44"/>
    <s v="Limited Tier Paid Subscription"/>
    <m/>
    <n v="727.89907766900001"/>
    <n v="0.72789907766899997"/>
    <m/>
    <n v="727.89907766900001"/>
    <m/>
    <s v="Streaming"/>
    <x v="16"/>
  </r>
  <r>
    <n v="388"/>
    <x v="44"/>
    <s v="Music Video (Physical)"/>
    <n v="1.8249377899999999"/>
    <n v="47.985770295999998"/>
    <n v="4.7985770295999999E-2"/>
    <n v="26.294469082148801"/>
    <n v="47.985770295999998"/>
    <n v="1.8249377899999999"/>
    <s v="Physical"/>
    <x v="8"/>
  </r>
  <r>
    <n v="389"/>
    <x v="44"/>
    <s v="On-Demand Streaming (Ad-Supported)"/>
    <m/>
    <n v="786.09645333900005"/>
    <n v="0.78609645333900002"/>
    <m/>
    <n v="786.09645333900005"/>
    <m/>
    <s v="Streaming"/>
    <x v="16"/>
  </r>
  <r>
    <n v="390"/>
    <x v="44"/>
    <s v="Other Ad-Supported Streaming"/>
    <m/>
    <n v="286.575197613"/>
    <n v="0.28657519761299999"/>
    <m/>
    <n v="286.575197613"/>
    <m/>
    <s v="Streaming"/>
    <x v="16"/>
  </r>
  <r>
    <n v="391"/>
    <x v="44"/>
    <s v="Other Digital"/>
    <m/>
    <n v="21.608490655000001"/>
    <n v="2.1608490655E-2"/>
    <m/>
    <n v="21.608490655000001"/>
    <m/>
    <s v="Other"/>
    <x v="19"/>
  </r>
  <r>
    <n v="392"/>
    <x v="44"/>
    <s v="Paid Subscription"/>
    <m/>
    <n v="4299.6085047300003"/>
    <n v="4.2996085047300001"/>
    <m/>
    <n v="4299.6085047300003"/>
    <m/>
    <s v="Streaming"/>
    <x v="16"/>
  </r>
  <r>
    <n v="393"/>
    <x v="44"/>
    <s v="Ringtones &amp; Ringbacks"/>
    <n v="14.262869941"/>
    <n v="45.448222190000003"/>
    <n v="4.5448222189999998E-2"/>
    <n v="3.1864710523198898"/>
    <n v="45.448222190000003"/>
    <n v="14.262869941"/>
    <s v="Other"/>
    <x v="17"/>
  </r>
  <r>
    <n v="394"/>
    <x v="44"/>
    <s v="SACD"/>
    <n v="3.2749E-2"/>
    <n v="1.0885163920000001"/>
    <n v="1.088516392E-3"/>
    <n v="33.238156646004398"/>
    <n v="1.0885163920000001"/>
    <n v="3.2749E-2"/>
    <s v="Physical"/>
    <x v="10"/>
  </r>
  <r>
    <n v="395"/>
    <x v="44"/>
    <s v="SoundExchange Distributions"/>
    <m/>
    <n v="834.38816906"/>
    <n v="0.83438816906000002"/>
    <m/>
    <n v="834.38816906"/>
    <m/>
    <s v="Other"/>
    <x v="13"/>
  </r>
  <r>
    <n v="396"/>
    <x v="44"/>
    <s v="Synchronization"/>
    <m/>
    <n v="297.009584211"/>
    <n v="0.29700958421099999"/>
    <m/>
    <n v="297.009584211"/>
    <m/>
    <s v="Other"/>
    <x v="18"/>
  </r>
  <r>
    <n v="397"/>
    <x v="44"/>
    <s v="Vinyl Single"/>
    <n v="0.40295936500000001"/>
    <n v="7.7787313239999998"/>
    <n v="7.7787313240000001E-3"/>
    <n v="19.304009286395399"/>
    <n v="7.7787313239999998"/>
    <n v="0.40295936500000001"/>
    <s v="Physical"/>
    <x v="4"/>
  </r>
  <r>
    <n v="398"/>
    <x v="45"/>
    <s v="CD"/>
    <n v="51.781960712999997"/>
    <n v="869.22732406199998"/>
    <n v="0.86922732406199998"/>
    <n v="16.786296078660801"/>
    <n v="869.22732406199998"/>
    <n v="51.781960712999997"/>
    <s v="Physical"/>
    <x v="5"/>
  </r>
  <r>
    <n v="399"/>
    <x v="45"/>
    <s v="CD Single"/>
    <n v="2.0760000000000002E-3"/>
    <n v="1.9742926000000001E-2"/>
    <n v="1.9742926000000001E-5"/>
    <n v="9.5100799614643492"/>
    <n v="1.9742926000000001E-2"/>
    <n v="2.0760000000000002E-3"/>
    <s v="Physical"/>
    <x v="7"/>
  </r>
  <r>
    <n v="400"/>
    <x v="45"/>
    <s v="DVD Audio"/>
    <n v="9.1999999999999998E-3"/>
    <n v="0.41082876699999998"/>
    <n v="4.1082876699999999E-4"/>
    <n v="44.655300760869501"/>
    <n v="0.41082876699999998"/>
    <n v="9.1999999999999998E-3"/>
    <s v="Physical"/>
    <x v="9"/>
  </r>
  <r>
    <n v="401"/>
    <x v="45"/>
    <s v="Download Album"/>
    <n v="49.297698210999997"/>
    <n v="618.68881410400002"/>
    <n v="0.61868881410400001"/>
    <n v="12.550054800853699"/>
    <n v="618.68881410400002"/>
    <n v="49.297698210999997"/>
    <s v="Other"/>
    <x v="11"/>
  </r>
  <r>
    <n v="402"/>
    <x v="45"/>
    <s v="Download Music Video"/>
    <n v="1.1159852260000001"/>
    <n v="2.7742908659999999"/>
    <n v="2.774290866E-3"/>
    <n v="2.4859566250207599"/>
    <n v="2.7742908659999999"/>
    <n v="1.1159852260000001"/>
    <s v="Other"/>
    <x v="14"/>
  </r>
  <r>
    <n v="403"/>
    <x v="45"/>
    <s v="Download Single"/>
    <n v="399.313889582"/>
    <n v="611.95285180300004"/>
    <n v="0.61195285180299996"/>
    <n v="1.5325108085861701"/>
    <n v="611.95285180300004"/>
    <n v="399.313889582"/>
    <s v="Other"/>
    <x v="12"/>
  </r>
  <r>
    <n v="404"/>
    <x v="45"/>
    <s v="Kiosk"/>
    <n v="1.097856529"/>
    <n v="2.4547832270000001"/>
    <n v="2.4547832269999998E-3"/>
    <n v="2.2359781648663799"/>
    <n v="2.4547832270000001"/>
    <n v="1.097856529"/>
    <s v="Other"/>
    <x v="15"/>
  </r>
  <r>
    <n v="405"/>
    <x v="45"/>
    <s v="LP/EP"/>
    <n v="16.670127325999999"/>
    <n v="523.70479794799996"/>
    <n v="0.52370479794799996"/>
    <n v="31.415764721316201"/>
    <n v="523.70479794799996"/>
    <n v="16.670127325999999"/>
    <s v="Physical"/>
    <x v="2"/>
  </r>
  <r>
    <n v="406"/>
    <x v="45"/>
    <s v="Limited Tier Paid Subscription"/>
    <m/>
    <n v="925.067271248"/>
    <n v="0.92506727124800003"/>
    <m/>
    <n v="925.067271248"/>
    <m/>
    <s v="Streaming"/>
    <x v="16"/>
  </r>
  <r>
    <n v="407"/>
    <x v="45"/>
    <s v="Music Video (Physical)"/>
    <n v="1.4367134669999999"/>
    <n v="35.497105544999997"/>
    <n v="3.5497105544999998E-2"/>
    <n v="24.707157244876001"/>
    <n v="35.497105544999997"/>
    <n v="1.4367134669999999"/>
    <s v="Physical"/>
    <x v="8"/>
  </r>
  <r>
    <n v="408"/>
    <x v="45"/>
    <s v="On-Demand Streaming (Ad-Supported)"/>
    <m/>
    <n v="940.27751938500001"/>
    <n v="0.94027751938500004"/>
    <m/>
    <n v="940.27751938500001"/>
    <m/>
    <s v="Streaming"/>
    <x v="16"/>
  </r>
  <r>
    <n v="409"/>
    <x v="45"/>
    <s v="Other Ad-Supported Streaming"/>
    <m/>
    <n v="260.059608475"/>
    <n v="0.26005960847499998"/>
    <m/>
    <n v="260.059608475"/>
    <m/>
    <s v="Streaming"/>
    <x v="16"/>
  </r>
  <r>
    <n v="410"/>
    <x v="45"/>
    <s v="Other Digital"/>
    <m/>
    <n v="24.784081685"/>
    <n v="2.4784081685000001E-2"/>
    <m/>
    <n v="24.784081685"/>
    <m/>
    <s v="Other"/>
    <x v="19"/>
  </r>
  <r>
    <n v="411"/>
    <x v="45"/>
    <s v="Paid Subscription"/>
    <m/>
    <n v="5763.9446530269997"/>
    <n v="5.763944653027"/>
    <m/>
    <n v="5763.9446530269997"/>
    <m/>
    <s v="Streaming"/>
    <x v="16"/>
  </r>
  <r>
    <n v="412"/>
    <x v="45"/>
    <s v="Ringtones &amp; Ringbacks"/>
    <n v="10.026286725"/>
    <n v="31.177968285999999"/>
    <n v="3.1177968285999998E-2"/>
    <n v="3.10962264905704"/>
    <n v="31.177968285999999"/>
    <n v="10.026286725"/>
    <s v="Other"/>
    <x v="17"/>
  </r>
  <r>
    <n v="413"/>
    <x v="45"/>
    <s v="SACD"/>
    <n v="3.2804E-2"/>
    <n v="1.0739578839999999"/>
    <n v="1.0739578839999899E-3"/>
    <n v="32.7386258992805"/>
    <n v="1.0739578839999999"/>
    <n v="3.2804E-2"/>
    <s v="Physical"/>
    <x v="10"/>
  </r>
  <r>
    <n v="414"/>
    <x v="45"/>
    <s v="SoundExchange Distributions"/>
    <m/>
    <n v="1190.261040911"/>
    <n v="1.1902610409109999"/>
    <m/>
    <n v="1190.261040911"/>
    <m/>
    <s v="Other"/>
    <x v="13"/>
  </r>
  <r>
    <n v="415"/>
    <x v="45"/>
    <s v="Synchronization"/>
    <m/>
    <n v="356.67042967700002"/>
    <n v="0.35667042967700002"/>
    <m/>
    <n v="356.67042967700002"/>
    <m/>
    <s v="Other"/>
    <x v="18"/>
  </r>
  <r>
    <n v="416"/>
    <x v="45"/>
    <s v="Vinyl Single"/>
    <n v="0.36799533299999998"/>
    <n v="7.1463143929999999"/>
    <n v="7.1463143929999997E-3"/>
    <n v="19.419578870039601"/>
    <n v="7.1463143929999999"/>
    <n v="0.36799533299999998"/>
    <s v="Physical"/>
    <x v="4"/>
  </r>
  <r>
    <n v="417"/>
    <x v="46"/>
    <s v="CD"/>
    <n v="47.960408598000001"/>
    <n v="781.16979160699998"/>
    <n v="0.78116979160699995"/>
    <n v="16.287805180199701"/>
    <n v="781.16979160699998"/>
    <n v="47.960408598000001"/>
    <s v="Physical"/>
    <x v="5"/>
  </r>
  <r>
    <n v="418"/>
    <x v="46"/>
    <s v="CD Single"/>
    <n v="9.0506670000000001E-3"/>
    <n v="7.6758961000000001E-2"/>
    <n v="7.6758960999999995E-5"/>
    <n v="8.4810280833445706"/>
    <n v="7.6758961000000001E-2"/>
    <n v="9.0506670000000001E-3"/>
    <s v="Physical"/>
    <x v="7"/>
  </r>
  <r>
    <n v="419"/>
    <x v="46"/>
    <s v="DVD Audio"/>
    <n v="5.3336000000000001E-2"/>
    <n v="1.57015635"/>
    <n v="1.57015635E-3"/>
    <n v="29.438959614519199"/>
    <n v="1.57015635"/>
    <n v="5.3336000000000001E-2"/>
    <s v="Physical"/>
    <x v="9"/>
  </r>
  <r>
    <n v="420"/>
    <x v="46"/>
    <s v="Download Album"/>
    <n v="37.462013818999999"/>
    <n v="452.157198446"/>
    <n v="0.452157198446"/>
    <n v="12.0697515256554"/>
    <n v="452.157198446"/>
    <n v="37.462013818999999"/>
    <s v="Other"/>
    <x v="11"/>
  </r>
  <r>
    <n v="421"/>
    <x v="46"/>
    <s v="Download Music Video"/>
    <n v="0.93217183000000003"/>
    <n v="2.2760964019999999"/>
    <n v="2.2760964019999902E-3"/>
    <n v="2.4417133502092598"/>
    <n v="2.2760964019999999"/>
    <n v="0.93217183000000003"/>
    <s v="Other"/>
    <x v="14"/>
  </r>
  <r>
    <n v="422"/>
    <x v="46"/>
    <s v="Download Single"/>
    <n v="325.30965685000001"/>
    <n v="494.44072307900001"/>
    <n v="0.494440723079"/>
    <n v="1.5199079174799399"/>
    <n v="494.44072307900001"/>
    <n v="325.30965685000001"/>
    <s v="Other"/>
    <x v="12"/>
  </r>
  <r>
    <n v="423"/>
    <x v="46"/>
    <s v="Kiosk"/>
    <n v="0.89970386499999999"/>
    <n v="1.9465861369999999"/>
    <n v="1.946586137E-3"/>
    <n v="2.1635853892880599"/>
    <n v="1.9465861369999999"/>
    <n v="0.89970386499999999"/>
    <s v="Other"/>
    <x v="15"/>
  </r>
  <r>
    <n v="424"/>
    <x v="46"/>
    <s v="LP/EP"/>
    <n v="19.805784999"/>
    <n v="632.48028503800003"/>
    <n v="0.63248028503800002"/>
    <n v="31.934118494668802"/>
    <n v="632.48028503800003"/>
    <n v="19.805784999"/>
    <s v="Physical"/>
    <x v="2"/>
  </r>
  <r>
    <n v="425"/>
    <x v="46"/>
    <s v="Limited Tier Paid Subscription"/>
    <m/>
    <n v="778.05955762600001"/>
    <n v="0.77805955762599999"/>
    <m/>
    <n v="778.05955762600001"/>
    <m/>
    <s v="Streaming"/>
    <x v="16"/>
  </r>
  <r>
    <n v="426"/>
    <x v="46"/>
    <s v="Music Video (Physical)"/>
    <n v="1.296883934"/>
    <n v="32.609016402000002"/>
    <n v="3.2609016402E-2"/>
    <n v="25.144128589382301"/>
    <n v="32.609016402000002"/>
    <n v="1.296883934"/>
    <s v="Physical"/>
    <x v="8"/>
  </r>
  <r>
    <n v="427"/>
    <x v="46"/>
    <s v="On-Demand Streaming (Ad-Supported)"/>
    <m/>
    <n v="1235.08285804"/>
    <n v="1.23508285804"/>
    <m/>
    <n v="1235.08285804"/>
    <m/>
    <s v="Streaming"/>
    <x v="16"/>
  </r>
  <r>
    <n v="428"/>
    <x v="46"/>
    <s v="Other Ad-Supported Streaming"/>
    <m/>
    <n v="254.35467633900001"/>
    <n v="0.254354676339"/>
    <m/>
    <n v="254.35467633900001"/>
    <m/>
    <s v="Streaming"/>
    <x v="16"/>
  </r>
  <r>
    <n v="429"/>
    <x v="46"/>
    <s v="Other Digital"/>
    <m/>
    <n v="26.395601116999998"/>
    <n v="2.6395601116999901E-2"/>
    <m/>
    <n v="26.395601116999998"/>
    <m/>
    <s v="Other"/>
    <x v="19"/>
  </r>
  <r>
    <n v="430"/>
    <x v="46"/>
    <s v="Paid Subscription"/>
    <m/>
    <n v="7453.4653669059999"/>
    <n v="7.4534653669060003"/>
    <m/>
    <n v="7453.4653669059999"/>
    <m/>
    <s v="Streaming"/>
    <x v="16"/>
  </r>
  <r>
    <n v="431"/>
    <x v="46"/>
    <s v="Ringtones &amp; Ringbacks"/>
    <n v="8.2903404890000001"/>
    <n v="25.326724641999999"/>
    <n v="2.5326724642E-2"/>
    <n v="3.0549679685176501"/>
    <n v="25.326724641999999"/>
    <n v="8.2903404890000001"/>
    <s v="Other"/>
    <x v="17"/>
  </r>
  <r>
    <n v="432"/>
    <x v="46"/>
    <s v="SACD"/>
    <n v="1.7654E-2"/>
    <n v="0.53165828699999995"/>
    <n v="5.31658287E-4"/>
    <n v="30.115457516709998"/>
    <n v="0.53165828699999995"/>
    <n v="1.7654E-2"/>
    <s v="Physical"/>
    <x v="10"/>
  </r>
  <r>
    <n v="433"/>
    <x v="46"/>
    <s v="SoundExchange Distributions"/>
    <m/>
    <n v="1114.353801382"/>
    <n v="1.114353801382"/>
    <m/>
    <n v="1114.353801382"/>
    <m/>
    <s v="Other"/>
    <x v="13"/>
  </r>
  <r>
    <n v="434"/>
    <x v="46"/>
    <s v="Synchronization"/>
    <m/>
    <n v="344.92297479699999"/>
    <n v="0.34492297479700001"/>
    <m/>
    <n v="344.92297479699999"/>
    <m/>
    <s v="Other"/>
    <x v="18"/>
  </r>
  <r>
    <n v="435"/>
    <x v="46"/>
    <s v="Vinyl Single"/>
    <n v="0.33267833299999999"/>
    <n v="8.2556213080000003"/>
    <n v="8.2556213079999999E-3"/>
    <n v="24.815626655193"/>
    <n v="8.2556213080000003"/>
    <n v="0.33267833299999999"/>
    <s v="Physical"/>
    <x v="4"/>
  </r>
  <r>
    <n v="436"/>
    <x v="47"/>
    <s v="CD"/>
    <n v="30.990884989000001"/>
    <n v="574.34494415699999"/>
    <n v="0.57434494415699999"/>
    <n v="18.532705482946302"/>
    <n v="574.34494415699999"/>
    <n v="30.990884989000001"/>
    <s v="Physical"/>
    <x v="5"/>
  </r>
  <r>
    <n v="437"/>
    <x v="47"/>
    <s v="CD Single"/>
    <n v="3.4233332999999998E-2"/>
    <n v="0.448883439"/>
    <n v="4.48883439E-4"/>
    <n v="13.1124667002187"/>
    <n v="0.448883439"/>
    <n v="3.4233332999999998E-2"/>
    <s v="Physical"/>
    <x v="7"/>
  </r>
  <r>
    <n v="438"/>
    <x v="47"/>
    <s v="DVD Audio"/>
    <n v="8.3246000000000001E-2"/>
    <n v="2.2346908980000002"/>
    <n v="2.234690898E-3"/>
    <n v="26.844423732071199"/>
    <n v="2.2346908980000002"/>
    <n v="8.3246000000000001E-2"/>
    <s v="Physical"/>
    <x v="9"/>
  </r>
  <r>
    <n v="439"/>
    <x v="47"/>
    <s v="Download Album"/>
    <n v="33.070586333999998"/>
    <n v="386.97114225899998"/>
    <n v="0.38697114225899998"/>
    <n v="11.701369257585601"/>
    <n v="386.97114225899998"/>
    <n v="33.070586333999998"/>
    <s v="Other"/>
    <x v="11"/>
  </r>
  <r>
    <n v="440"/>
    <x v="47"/>
    <s v="Download Music Video"/>
    <n v="0.90162083699999995"/>
    <n v="2.1746710610000002"/>
    <n v="2.1746710610000002E-3"/>
    <n v="2.4119574124261201"/>
    <n v="2.1746710610000002"/>
    <n v="0.90162083699999995"/>
    <s v="Other"/>
    <x v="14"/>
  </r>
  <r>
    <n v="441"/>
    <x v="47"/>
    <s v="Download Single"/>
    <n v="255.158662015"/>
    <n v="376.20076229300003"/>
    <n v="0.37620076229299998"/>
    <n v="1.47437974208723"/>
    <n v="376.20076229300003"/>
    <n v="255.158662015"/>
    <s v="Other"/>
    <x v="12"/>
  </r>
  <r>
    <n v="442"/>
    <x v="47"/>
    <s v="Kiosk"/>
    <n v="0.69716509000000004"/>
    <n v="1.426429607"/>
    <n v="1.4264296070000001E-3"/>
    <n v="2.0460427916721899"/>
    <n v="1.426429607"/>
    <n v="0.69716509000000004"/>
    <s v="Other"/>
    <x v="15"/>
  </r>
  <r>
    <n v="443"/>
    <x v="47"/>
    <s v="LP/EP"/>
    <n v="25.581562947999998"/>
    <n v="844.01744064599995"/>
    <n v="0.84401744064599904"/>
    <n v="32.993192885112002"/>
    <n v="844.01744064599995"/>
    <n v="25.581562947999998"/>
    <s v="Physical"/>
    <x v="2"/>
  </r>
  <r>
    <n v="444"/>
    <x v="47"/>
    <s v="Limited Tier Paid Subscription"/>
    <m/>
    <n v="870.07992108500002"/>
    <n v="0.87007992108499999"/>
    <m/>
    <n v="870.07992108500002"/>
    <m/>
    <s v="Streaming"/>
    <x v="16"/>
  </r>
  <r>
    <n v="445"/>
    <x v="47"/>
    <s v="Music Video (Physical)"/>
    <n v="1.000631276"/>
    <n v="33.242135761"/>
    <n v="3.3242135760999998E-2"/>
    <n v="33.221164037450997"/>
    <n v="33.242135761"/>
    <n v="1.000631276"/>
    <s v="Physical"/>
    <x v="8"/>
  </r>
  <r>
    <n v="446"/>
    <x v="47"/>
    <s v="On-Demand Streaming (Ad-Supported)"/>
    <m/>
    <n v="1450.3237317769999"/>
    <n v="1.4503237317769999"/>
    <m/>
    <n v="1450.3237317769999"/>
    <m/>
    <s v="Streaming"/>
    <x v="16"/>
  </r>
  <r>
    <n v="447"/>
    <x v="47"/>
    <s v="Other Ad-Supported Streaming"/>
    <m/>
    <n v="256.04032685700003"/>
    <n v="0.25604032685700001"/>
    <m/>
    <n v="256.04032685700003"/>
    <m/>
    <s v="Streaming"/>
    <x v="16"/>
  </r>
  <r>
    <n v="448"/>
    <x v="47"/>
    <s v="Other Digital"/>
    <m/>
    <n v="22.895735116000001"/>
    <n v="2.2895735116000002E-2"/>
    <m/>
    <n v="22.895735116000001"/>
    <m/>
    <s v="Other"/>
    <x v="19"/>
  </r>
  <r>
    <n v="449"/>
    <x v="47"/>
    <s v="Paid Subscription"/>
    <m/>
    <n v="8426.2397011009998"/>
    <n v="8.4262397011010002"/>
    <m/>
    <n v="8426.2397011009998"/>
    <m/>
    <s v="Streaming"/>
    <x v="16"/>
  </r>
  <r>
    <n v="450"/>
    <x v="47"/>
    <s v="Ringtones &amp; Ringbacks"/>
    <n v="8.1283922969999995"/>
    <n v="24.531190200000001"/>
    <n v="2.4531190200000001E-2"/>
    <n v="3.0179633688514098"/>
    <n v="24.531190200000001"/>
    <n v="8.1283922969999995"/>
    <s v="Other"/>
    <x v="17"/>
  </r>
  <r>
    <n v="451"/>
    <x v="47"/>
    <s v="SACD"/>
    <n v="1.1387E-2"/>
    <n v="0.28685622599999999"/>
    <n v="2.8685622600000001E-4"/>
    <n v="25.1915540528673"/>
    <n v="0.28685622599999999"/>
    <n v="1.1387E-2"/>
    <s v="Physical"/>
    <x v="10"/>
  </r>
  <r>
    <n v="452"/>
    <x v="47"/>
    <s v="SoundExchange Distributions"/>
    <m/>
    <n v="1148.2856547829999"/>
    <n v="1.148285654783"/>
    <m/>
    <n v="1148.2856547829999"/>
    <m/>
    <s v="Other"/>
    <x v="13"/>
  </r>
  <r>
    <n v="453"/>
    <x v="47"/>
    <s v="Synchronization"/>
    <m/>
    <n v="321.47643103399997"/>
    <n v="0.32147643103399998"/>
    <m/>
    <n v="321.47643103399997"/>
    <m/>
    <s v="Other"/>
    <x v="18"/>
  </r>
  <r>
    <n v="454"/>
    <x v="47"/>
    <s v="Vinyl Single"/>
    <n v="0.383001333"/>
    <n v="7.6567164449999998"/>
    <n v="7.65671644499999E-3"/>
    <n v="19.991357171072799"/>
    <n v="7.6567164449999998"/>
    <n v="0.383001333"/>
    <s v="Physical"/>
    <x v="4"/>
  </r>
  <r>
    <n v="455"/>
    <x v="48"/>
    <s v="CD"/>
    <n v="44.946287624999997"/>
    <n v="678.17343097800006"/>
    <n v="0.67817343097799998"/>
    <n v="15.0885304841236"/>
    <n v="678.17343097800006"/>
    <n v="44.946287624999997"/>
    <s v="Physical"/>
    <x v="5"/>
  </r>
  <r>
    <n v="456"/>
    <x v="48"/>
    <s v="CD Single"/>
    <n v="1.6920000000000001E-2"/>
    <n v="0.12586175599999999"/>
    <n v="1.2586175599999999E-4"/>
    <n v="7.4386380614657197"/>
    <n v="0.12586175599999999"/>
    <n v="1.6920000000000001E-2"/>
    <s v="Physical"/>
    <x v="7"/>
  </r>
  <r>
    <n v="457"/>
    <x v="48"/>
    <s v="DVD Audio"/>
    <n v="0.289925457"/>
    <n v="6.6664891109999997"/>
    <n v="6.6664891110000003E-3"/>
    <n v="22.993803924572202"/>
    <n v="6.6664891109999997"/>
    <n v="0.289925457"/>
    <s v="Physical"/>
    <x v="9"/>
  </r>
  <r>
    <n v="458"/>
    <x v="48"/>
    <s v="Download Album"/>
    <n v="31.083015714999998"/>
    <n v="351.08505782899999"/>
    <n v="0.35108505782900001"/>
    <n v="11.2950770622804"/>
    <n v="351.08505782899999"/>
    <n v="31.083015714999998"/>
    <s v="Other"/>
    <x v="11"/>
  </r>
  <r>
    <n v="459"/>
    <x v="48"/>
    <s v="Download Music Video"/>
    <n v="0.96081700000000003"/>
    <n v="2.2134607910000001"/>
    <n v="2.2134607909999999E-3"/>
    <n v="2.3037277556496099"/>
    <n v="2.2134607910000001"/>
    <n v="0.96081700000000003"/>
    <s v="Other"/>
    <x v="14"/>
  </r>
  <r>
    <n v="460"/>
    <x v="48"/>
    <s v="Download Single"/>
    <n v="219.39981445399999"/>
    <n v="311.28450064200001"/>
    <n v="0.31128450064199997"/>
    <n v="1.4188002000669999"/>
    <n v="311.28450064200001"/>
    <n v="219.39981445399999"/>
    <s v="Other"/>
    <x v="12"/>
  </r>
  <r>
    <n v="461"/>
    <x v="48"/>
    <s v="Kiosk"/>
    <n v="0.50087800000000005"/>
    <n v="0.86876088100000004"/>
    <n v="8.6876088100000005E-4"/>
    <n v="1.73447602210518"/>
    <n v="0.86876088100000004"/>
    <n v="0.50087800000000005"/>
    <s v="Other"/>
    <x v="15"/>
  </r>
  <r>
    <n v="462"/>
    <x v="48"/>
    <s v="LP/EP"/>
    <n v="36.744163465"/>
    <n v="1257.5209529270001"/>
    <n v="1.2575209529269999"/>
    <n v="34.223692536226302"/>
    <n v="1257.5209529270001"/>
    <n v="36.744163465"/>
    <s v="Physical"/>
    <x v="2"/>
  </r>
  <r>
    <n v="463"/>
    <x v="48"/>
    <s v="Limited Tier Paid Subscription"/>
    <m/>
    <n v="1038.4528723179999"/>
    <n v="1.038452872318"/>
    <m/>
    <n v="1038.4528723179999"/>
    <m/>
    <s v="Streaming"/>
    <x v="16"/>
  </r>
  <r>
    <n v="464"/>
    <x v="48"/>
    <s v="Music Video (Physical)"/>
    <n v="1.3114353329999999"/>
    <n v="23.036499451000001"/>
    <n v="2.3036499451E-2"/>
    <n v="17.565867619490099"/>
    <n v="23.036499451000001"/>
    <n v="1.3114353329999999"/>
    <s v="Physical"/>
    <x v="8"/>
  </r>
  <r>
    <n v="465"/>
    <x v="48"/>
    <s v="On-Demand Streaming (Ad-Supported)"/>
    <m/>
    <n v="2006.6803758359999"/>
    <n v="2.0066803758359999"/>
    <m/>
    <n v="2006.6803758359999"/>
    <m/>
    <s v="Streaming"/>
    <x v="16"/>
  </r>
  <r>
    <n v="466"/>
    <x v="48"/>
    <s v="Other Ad-Supported Streaming"/>
    <m/>
    <n v="235.58109197600001"/>
    <n v="0.235581091976"/>
    <m/>
    <n v="235.58109197600001"/>
    <m/>
    <s v="Streaming"/>
    <x v="16"/>
  </r>
  <r>
    <n v="467"/>
    <x v="48"/>
    <s v="Other Digital"/>
    <m/>
    <n v="36.007788083000001"/>
    <n v="3.6007788083000002E-2"/>
    <m/>
    <n v="36.007788083000001"/>
    <m/>
    <s v="Other"/>
    <x v="19"/>
  </r>
  <r>
    <n v="468"/>
    <x v="48"/>
    <s v="Paid Subscription"/>
    <m/>
    <n v="9912.7769364640008"/>
    <n v="9.9127769364640006"/>
    <m/>
    <n v="9912.7769364640008"/>
    <m/>
    <s v="Streaming"/>
    <x v="16"/>
  </r>
  <r>
    <n v="469"/>
    <x v="48"/>
    <s v="Ringtones &amp; Ringbacks"/>
    <n v="6.2907999999999999"/>
    <n v="18.133569603000002"/>
    <n v="1.8133569602999999E-2"/>
    <n v="2.8825538251096798"/>
    <n v="18.133569603000002"/>
    <n v="6.2907999999999999"/>
    <s v="Other"/>
    <x v="17"/>
  </r>
  <r>
    <n v="470"/>
    <x v="48"/>
    <s v="SACD"/>
    <n v="1.0251E-2"/>
    <n v="0.24448108199999999"/>
    <n v="2.44481082E-4"/>
    <n v="23.849486098917101"/>
    <n v="0.24448108199999999"/>
    <n v="1.0251E-2"/>
    <s v="Physical"/>
    <x v="10"/>
  </r>
  <r>
    <n v="471"/>
    <x v="48"/>
    <s v="SoundExchange Distributions"/>
    <m/>
    <n v="1148.9697475739999"/>
    <n v="1.1489697475739999"/>
    <m/>
    <n v="1148.9697475739999"/>
    <m/>
    <s v="Other"/>
    <x v="13"/>
  </r>
  <r>
    <n v="472"/>
    <x v="48"/>
    <s v="Synchronization"/>
    <m/>
    <n v="354.85066582299999"/>
    <n v="0.35485066582300001"/>
    <m/>
    <n v="354.85066582299999"/>
    <m/>
    <s v="Other"/>
    <x v="18"/>
  </r>
  <r>
    <n v="473"/>
    <x v="48"/>
    <s v="Vinyl Single"/>
    <n v="0.47872147100000001"/>
    <n v="9.1439862099999996"/>
    <n v="9.1439862099999998E-3"/>
    <n v="19.100848330239099"/>
    <n v="9.1439862099999996"/>
    <n v="0.47872147100000001"/>
    <s v="Physical"/>
    <x v="4"/>
  </r>
  <r>
    <n v="474"/>
    <x v="49"/>
    <s v="CD"/>
    <n v="37.701479085000003"/>
    <n v="517.26249783399999"/>
    <n v="0.51726249783400002"/>
    <n v="13.7199523835073"/>
    <n v="517.26249783399999"/>
    <n v="37.701479085000003"/>
    <s v="Physical"/>
    <x v="5"/>
  </r>
  <r>
    <n v="475"/>
    <x v="49"/>
    <s v="CD Single"/>
    <n v="0.396157333"/>
    <n v="7.3081860599999997"/>
    <n v="7.3081860600000001E-3"/>
    <n v="18.4476859349212"/>
    <n v="7.3081860599999997"/>
    <n v="0.396157333"/>
    <s v="Physical"/>
    <x v="7"/>
  </r>
  <r>
    <n v="476"/>
    <x v="49"/>
    <s v="DVD Audio"/>
    <n v="2.3760000000000001E-3"/>
    <n v="7.8436745000000002E-2"/>
    <n v="7.8436744999999997E-5"/>
    <n v="33.012098063972999"/>
    <n v="7.8436745000000002E-2"/>
    <n v="2.3760000000000001E-3"/>
    <s v="Physical"/>
    <x v="9"/>
  </r>
  <r>
    <n v="477"/>
    <x v="49"/>
    <s v="Download Album"/>
    <n v="24.462240795"/>
    <n v="259.24820694099998"/>
    <n v="0.25924820694099998"/>
    <n v="10.5978928550972"/>
    <n v="259.24820694099998"/>
    <n v="24.462240795"/>
    <s v="Other"/>
    <x v="11"/>
  </r>
  <r>
    <n v="478"/>
    <x v="49"/>
    <s v="Download Music Video"/>
    <n v="0.67483499999999996"/>
    <n v="1.439441491"/>
    <n v="1.4394414910000001E-3"/>
    <n v="2.1330273192706302"/>
    <n v="1.439441491"/>
    <n v="0.67483499999999996"/>
    <s v="Other"/>
    <x v="14"/>
  </r>
  <r>
    <n v="479"/>
    <x v="49"/>
    <s v="Download Single"/>
    <n v="172.46174731599999"/>
    <n v="229.53286934600001"/>
    <n v="0.22953286934600001"/>
    <n v="1.3309204673974899"/>
    <n v="229.53286934600001"/>
    <n v="172.46174731599999"/>
    <s v="Other"/>
    <x v="12"/>
  </r>
  <r>
    <n v="480"/>
    <x v="49"/>
    <s v="Kiosk"/>
    <n v="0.29915900000000001"/>
    <n v="0.42457106999999999"/>
    <n v="4.2457106999999999E-4"/>
    <n v="1.41921543393312"/>
    <n v="0.42457106999999999"/>
    <n v="0.29915900000000001"/>
    <s v="Other"/>
    <x v="15"/>
  </r>
  <r>
    <n v="481"/>
    <x v="49"/>
    <s v="LP/EP"/>
    <n v="40.544984720999999"/>
    <n v="1312.3857839699999"/>
    <n v="1.3123857839699999"/>
    <n v="32.368634320640297"/>
    <n v="1312.3857839699999"/>
    <n v="40.544984720999999"/>
    <s v="Physical"/>
    <x v="2"/>
  </r>
  <r>
    <n v="482"/>
    <x v="49"/>
    <s v="Limited Tier Paid Subscription"/>
    <m/>
    <n v="1139.4139181549999"/>
    <n v="1.139413918155"/>
    <m/>
    <n v="1139.4139181549999"/>
    <m/>
    <s v="Streaming"/>
    <x v="16"/>
  </r>
  <r>
    <n v="483"/>
    <x v="49"/>
    <s v="Music Video (Physical)"/>
    <n v="0.82985200000000003"/>
    <n v="12.144307790999999"/>
    <n v="1.2144307791E-2"/>
    <n v="14.634305624376299"/>
    <n v="12.144307790999999"/>
    <n v="0.82985200000000003"/>
    <s v="Physical"/>
    <x v="8"/>
  </r>
  <r>
    <n v="484"/>
    <x v="49"/>
    <s v="On-Demand Streaming (Ad-Supported)"/>
    <m/>
    <n v="1953.0968418949999"/>
    <n v="1.9530968418949901"/>
    <m/>
    <n v="1953.0968418949999"/>
    <m/>
    <s v="Streaming"/>
    <x v="16"/>
  </r>
  <r>
    <n v="485"/>
    <x v="49"/>
    <s v="Other Ad-Supported Streaming"/>
    <m/>
    <n v="280.27633527900002"/>
    <n v="0.28027633527899998"/>
    <m/>
    <n v="280.27633527900002"/>
    <m/>
    <s v="Streaming"/>
    <x v="16"/>
  </r>
  <r>
    <n v="486"/>
    <x v="49"/>
    <s v="Other Digital"/>
    <m/>
    <n v="27.777174616"/>
    <n v="2.7777174615999999E-2"/>
    <m/>
    <n v="27.777174616"/>
    <m/>
    <s v="Other"/>
    <x v="19"/>
  </r>
  <r>
    <n v="487"/>
    <x v="49"/>
    <s v="Paid Subscription"/>
    <m/>
    <n v="9838.738526481"/>
    <n v="9.8387385264810003"/>
    <m/>
    <n v="9838.738526481"/>
    <m/>
    <s v="Streaming"/>
    <x v="16"/>
  </r>
  <r>
    <n v="488"/>
    <x v="49"/>
    <s v="Ringtones &amp; Ringbacks"/>
    <n v="4.4242188889999996"/>
    <n v="11.808080195000001"/>
    <n v="1.1808080195000001E-2"/>
    <n v="2.6689638309620198"/>
    <n v="11.808080195000001"/>
    <n v="4.4242188889999996"/>
    <s v="Other"/>
    <x v="17"/>
  </r>
  <r>
    <n v="489"/>
    <x v="49"/>
    <s v="SACD"/>
    <n v="9.7330000000000003E-3"/>
    <n v="0.20760894199999999"/>
    <n v="2.07608942E-4"/>
    <n v="21.3304163156272"/>
    <n v="0.20760894199999999"/>
    <n v="9.7330000000000003E-3"/>
    <s v="Physical"/>
    <x v="10"/>
  </r>
  <r>
    <n v="490"/>
    <x v="49"/>
    <s v="SoundExchange Distributions"/>
    <m/>
    <n v="1028.3549797539999"/>
    <n v="1.0283549797539999"/>
    <m/>
    <n v="1028.3549797539999"/>
    <m/>
    <s v="Other"/>
    <x v="13"/>
  </r>
  <r>
    <n v="491"/>
    <x v="49"/>
    <s v="Synchronization"/>
    <m/>
    <n v="409.992204711"/>
    <n v="0.40999220471100001"/>
    <m/>
    <n v="409.992204711"/>
    <m/>
    <s v="Other"/>
    <x v="18"/>
  </r>
  <r>
    <n v="492"/>
    <x v="49"/>
    <s v="Vinyl Single"/>
    <n v="0.32080033299999999"/>
    <n v="6.0182012709999997"/>
    <n v="6.0182012710000002E-3"/>
    <n v="18.7599595509148"/>
    <n v="6.0182012709999997"/>
    <n v="0.32080033299999999"/>
    <s v="Physical"/>
    <x v="4"/>
  </r>
  <r>
    <n v="493"/>
    <x v="50"/>
    <s v="CD"/>
    <n v="32.441244744000002"/>
    <n v="552.930765006"/>
    <n v="0.55293076500600002"/>
    <n v="17.0440674939966"/>
    <n v="552.930765006"/>
    <n v="32.441244744000002"/>
    <s v="Physical"/>
    <x v="5"/>
  </r>
  <r>
    <n v="494"/>
    <x v="50"/>
    <s v="Download Album"/>
    <n v="20.483589469000002"/>
    <n v="210.91628494700001"/>
    <n v="0.21091628494699999"/>
    <n v="10.296842028893501"/>
    <n v="210.91628494700001"/>
    <n v="20.483589469000002"/>
    <s v="Other"/>
    <x v="11"/>
  </r>
  <r>
    <n v="495"/>
    <x v="50"/>
    <s v="Download Single"/>
    <n v="150.667660281"/>
    <n v="196.41257821100001"/>
    <n v="0.196412578211"/>
    <n v="1.3036147096509201"/>
    <n v="196.41257821100001"/>
    <n v="150.667660281"/>
    <s v="Other"/>
    <x v="12"/>
  </r>
  <r>
    <n v="496"/>
    <x v="50"/>
    <s v="LP/EP"/>
    <n v="43.217545981000001"/>
    <n v="1389.982072969"/>
    <n v="1.389982072969"/>
    <n v="32.162447946028301"/>
    <n v="1389.982072969"/>
    <n v="43.217545981000001"/>
    <s v="Physical"/>
    <x v="2"/>
  </r>
  <r>
    <n v="497"/>
    <x v="50"/>
    <s v="Limited Tier Paid Subscription"/>
    <m/>
    <n v="1051.5424898419999"/>
    <n v="1.0515424898419901"/>
    <m/>
    <n v="1051.5424898419999"/>
    <m/>
    <s v="Streaming"/>
    <x v="16"/>
  </r>
  <r>
    <n v="498"/>
    <x v="50"/>
    <s v="Music Video (Physical)"/>
    <n v="0.61285199999999995"/>
    <n v="11.003906488"/>
    <n v="1.1003906488000001E-2"/>
    <n v="17.9552428449283"/>
    <n v="11.003906488"/>
    <n v="0.61285199999999995"/>
    <s v="Physical"/>
    <x v="8"/>
  </r>
  <r>
    <n v="499"/>
    <x v="50"/>
    <s v="On-Demand Streaming (Ad-Supported)"/>
    <m/>
    <n v="1919.5277993679999"/>
    <n v="1.919527799368"/>
    <m/>
    <n v="1919.5277993679999"/>
    <m/>
    <s v="Streaming"/>
    <x v="16"/>
  </r>
  <r>
    <n v="500"/>
    <x v="50"/>
    <s v="Other Ad-Supported Streaming"/>
    <m/>
    <n v="327.04745620900002"/>
    <n v="0.327047456209"/>
    <m/>
    <n v="327.04745620900002"/>
    <m/>
    <s v="Streaming"/>
    <x v="16"/>
  </r>
  <r>
    <n v="501"/>
    <x v="50"/>
    <s v="Other Digital"/>
    <m/>
    <n v="28.931254766999999"/>
    <n v="2.8931254766999901E-2"/>
    <m/>
    <n v="28.931254766999999"/>
    <m/>
    <s v="Other"/>
    <x v="19"/>
  </r>
  <r>
    <n v="502"/>
    <x v="50"/>
    <s v="Other Physical"/>
    <n v="0.45943600000000001"/>
    <n v="5.8318247699999999"/>
    <n v="5.8318247699999997E-3"/>
    <n v="12.6934431999233"/>
    <n v="5.8318247699999999"/>
    <n v="0.45943600000000001"/>
    <s v="Physical"/>
    <x v="20"/>
  </r>
  <r>
    <n v="503"/>
    <x v="50"/>
    <s v="Paid Subscription"/>
    <m/>
    <n v="10449.038367970999"/>
    <n v="10.449038367970999"/>
    <m/>
    <n v="10449.038367970999"/>
    <m/>
    <s v="Streaming"/>
    <x v="16"/>
  </r>
  <r>
    <n v="504"/>
    <x v="50"/>
    <s v="Ringtones &amp; Ringbacks"/>
    <n v="4.0811724060000003"/>
    <n v="10.845680328"/>
    <n v="1.0845680328E-2"/>
    <n v="2.6574913404920202"/>
    <n v="10.845680328"/>
    <n v="4.0811724060000003"/>
    <s v="Other"/>
    <x v="17"/>
  </r>
  <r>
    <n v="505"/>
    <x v="50"/>
    <s v="SoundExchange Distributions"/>
    <m/>
    <n v="1034.435964319"/>
    <n v="1.034435964319"/>
    <m/>
    <n v="1034.435964319"/>
    <m/>
    <s v="Other"/>
    <x v="13"/>
  </r>
  <r>
    <n v="506"/>
    <x v="50"/>
    <s v="Synchronization"/>
    <m/>
    <n v="414.33066883499998"/>
    <n v="0.41433066883499903"/>
    <m/>
    <n v="414.33066883499998"/>
    <m/>
    <s v="Other"/>
    <x v="18"/>
  </r>
  <r>
    <n v="507"/>
    <x v="50"/>
    <s v="Vinyl Single"/>
    <n v="0.394688235"/>
    <n v="8.6152724379999999"/>
    <n v="8.6152724379999993E-3"/>
    <n v="21.828044704702101"/>
    <n v="8.6152724379999999"/>
    <n v="0.394688235"/>
    <s v="Physical"/>
    <x v="4"/>
  </r>
  <r>
    <n v="508"/>
    <x v="51"/>
    <s v="CD"/>
    <n v="32.937028845999997"/>
    <n v="541.10120400300002"/>
    <n v="0.54110120400299999"/>
    <n v="16.4283550448028"/>
    <n v="541.10120400300002"/>
    <n v="32.937028845999997"/>
    <s v="Physical"/>
    <x v="5"/>
  </r>
  <r>
    <n v="509"/>
    <x v="51"/>
    <s v="Download Album"/>
    <n v="16.849168872"/>
    <n v="166.69182327199999"/>
    <n v="0.16669182327199999"/>
    <n v="9.8931777904492897"/>
    <n v="166.69182327199999"/>
    <n v="16.849168872"/>
    <s v="Other"/>
    <x v="11"/>
  </r>
  <r>
    <n v="510"/>
    <x v="51"/>
    <s v="Download Single"/>
    <n v="122.08211057600001"/>
    <n v="162.37989908899999"/>
    <n v="0.162379899089"/>
    <n v="1.33008758058711"/>
    <n v="162.37989908899999"/>
    <n v="122.08211057600001"/>
    <s v="Other"/>
    <x v="12"/>
  </r>
  <r>
    <n v="511"/>
    <x v="51"/>
    <s v="LP/EP"/>
    <n v="43.634936840000002"/>
    <n v="1442.9031221339999"/>
    <n v="1.4429031221339901"/>
    <n v="33.067611107696003"/>
    <n v="1442.9031221339999"/>
    <n v="43.634936840000002"/>
    <s v="Physical"/>
    <x v="2"/>
  </r>
  <r>
    <n v="512"/>
    <x v="51"/>
    <s v="Limited Tier Paid Subscription"/>
    <m/>
    <n v="998.32862002900004"/>
    <n v="0.99832862002900002"/>
    <m/>
    <n v="998.32862002900004"/>
    <m/>
    <s v="Streaming"/>
    <x v="16"/>
  </r>
  <r>
    <n v="513"/>
    <x v="51"/>
    <s v="Music Video (Physical)"/>
    <n v="0.41342933300000001"/>
    <n v="8.8578969329999993"/>
    <n v="8.8578969329999903E-3"/>
    <n v="21.4254195964368"/>
    <n v="8.8578969329999993"/>
    <n v="0.41342933300000001"/>
    <s v="Physical"/>
    <x v="8"/>
  </r>
  <r>
    <n v="514"/>
    <x v="51"/>
    <s v="On-Demand Streaming (Ad-Supported)"/>
    <m/>
    <n v="1831.879377215"/>
    <n v="1.8318793772149999"/>
    <m/>
    <n v="1831.879377215"/>
    <m/>
    <s v="Streaming"/>
    <x v="16"/>
  </r>
  <r>
    <n v="515"/>
    <x v="51"/>
    <s v="Other Ad-Supported Streaming"/>
    <m/>
    <n v="306.49236527900001"/>
    <n v="0.30649236527899998"/>
    <m/>
    <n v="306.49236527900001"/>
    <m/>
    <s v="Streaming"/>
    <x v="16"/>
  </r>
  <r>
    <n v="516"/>
    <x v="51"/>
    <s v="Other Digital"/>
    <m/>
    <n v="35.091384482999999"/>
    <n v="3.5091384482999997E-2"/>
    <m/>
    <n v="35.091384482999999"/>
    <m/>
    <s v="Other"/>
    <x v="19"/>
  </r>
  <r>
    <n v="517"/>
    <x v="51"/>
    <s v="Other Physical"/>
    <n v="1.2076066670000001"/>
    <n v="12.52022296"/>
    <n v="1.2520222960000001E-2"/>
    <n v="10.367798805801"/>
    <n v="12.52022296"/>
    <n v="1.2076066670000001"/>
    <s v="Physical"/>
    <x v="20"/>
  </r>
  <r>
    <n v="518"/>
    <x v="51"/>
    <s v="Paid Subscription"/>
    <m/>
    <n v="10686.986036797"/>
    <n v="10.686986036797"/>
    <m/>
    <n v="10686.986036797"/>
    <m/>
    <s v="Streaming"/>
    <x v="16"/>
  </r>
  <r>
    <n v="519"/>
    <x v="51"/>
    <s v="Ringtones &amp; Ringbacks"/>
    <n v="2.229827378"/>
    <n v="5.552270171"/>
    <n v="5.5522701710000004E-3"/>
    <n v="2.4899999999013298"/>
    <n v="5.552270171"/>
    <n v="2.229827378"/>
    <s v="Other"/>
    <x v="17"/>
  </r>
  <r>
    <n v="520"/>
    <x v="51"/>
    <s v="SoundExchange Distributions"/>
    <m/>
    <n v="1054"/>
    <n v="1.054"/>
    <m/>
    <n v="1054"/>
    <m/>
    <s v="Other"/>
    <x v="13"/>
  </r>
  <r>
    <n v="521"/>
    <x v="51"/>
    <s v="Synchronization"/>
    <m/>
    <n v="412.63272553299998"/>
    <n v="0.41263272553300001"/>
    <m/>
    <n v="412.63272553299998"/>
    <m/>
    <s v="Other"/>
    <x v="18"/>
  </r>
  <r>
    <n v="522"/>
    <x v="51"/>
    <s v="Vinyl Single"/>
    <n v="0.54370700000000005"/>
    <n v="9.1568232569999992"/>
    <n v="9.1568232569999904E-3"/>
    <n v="16.841466556435702"/>
    <n v="9.1568232569999992"/>
    <n v="0.54370700000000005"/>
    <s v="Physical"/>
    <x v="4"/>
  </r>
  <r>
    <m/>
    <x v="52"/>
    <m/>
    <m/>
    <m/>
    <m/>
    <m/>
    <m/>
    <m/>
    <m/>
    <x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">
  <r>
    <x v="0"/>
    <s v="8 - Track"/>
    <n v="91"/>
    <n v="3454.8180405409998"/>
    <n v="3.4548180405409998"/>
    <n v="37.965033412538403"/>
    <n v="3454.8180405409998"/>
    <n v="91"/>
    <s v="Physical"/>
    <s v="8 - Track"/>
    <x v="0"/>
  </r>
  <r>
    <x v="0"/>
    <s v="Cassette"/>
    <n v="15"/>
    <n v="536.94513513499999"/>
    <n v="0.53694513513499997"/>
    <n v="35.796342342333297"/>
    <n v="536.94513513499999"/>
    <n v="15"/>
    <s v="Physical"/>
    <s v="Cassette"/>
    <x v="0"/>
  </r>
  <r>
    <x v="0"/>
    <s v="LP/EP"/>
    <n v="280"/>
    <n v="8803.0741891889993"/>
    <n v="8.8030741891889992"/>
    <n v="31.439550675674901"/>
    <n v="8803.0741891889993"/>
    <n v="280"/>
    <s v="Physical"/>
    <s v="LP/EP"/>
    <x v="0"/>
  </r>
  <r>
    <x v="0"/>
    <s v="Other Tapes"/>
    <n v="2.2000000000000002"/>
    <n v="110.21505405400001"/>
    <n v="0.11021505405400001"/>
    <n v="50.097751842727199"/>
    <n v="110.21505405400001"/>
    <n v="2.2000000000000002"/>
    <s v="Physical"/>
    <s v="Other Tapes"/>
    <x v="0"/>
  </r>
  <r>
    <x v="0"/>
    <s v="Vinyl Single"/>
    <n v="228"/>
    <n v="1342.3628378379999"/>
    <n v="1.3423628378379999"/>
    <n v="5.88755630630701"/>
    <n v="1342.3628378379999"/>
    <n v="228"/>
    <s v="Physical"/>
    <s v="Vinyl Single"/>
    <x v="0"/>
  </r>
  <r>
    <x v="1"/>
    <s v="8 - Track"/>
    <n v="96.7"/>
    <n v="3494.4827342799999"/>
    <n v="3.49448273428"/>
    <n v="36.137360230403303"/>
    <n v="3494.4827342799999"/>
    <n v="96.7"/>
    <s v="Physical"/>
    <s v="8 - Track"/>
    <x v="0"/>
  </r>
  <r>
    <x v="1"/>
    <s v="Cassette"/>
    <n v="15.3"/>
    <n v="554.84139553800003"/>
    <n v="0.55484139553800005"/>
    <n v="36.264143499215599"/>
    <n v="554.84139553800003"/>
    <n v="15.3"/>
    <s v="Physical"/>
    <s v="Cassette"/>
    <x v="0"/>
  </r>
  <r>
    <x v="1"/>
    <s v="LP/EP"/>
    <n v="276"/>
    <n v="8628.0382150099995"/>
    <n v="8.6280382150099992"/>
    <n v="31.2610080253985"/>
    <n v="8628.0382150099995"/>
    <n v="276"/>
    <s v="Physical"/>
    <s v="LP/EP"/>
    <x v="0"/>
  </r>
  <r>
    <x v="1"/>
    <s v="Other Tapes"/>
    <n v="1.9"/>
    <n v="84.626038539999996"/>
    <n v="8.4626038540000004E-2"/>
    <n v="44.540020284210499"/>
    <n v="84.626038539999996"/>
    <n v="1.9"/>
    <s v="Physical"/>
    <s v="Other Tapes"/>
    <x v="0"/>
  </r>
  <r>
    <x v="1"/>
    <s v="Vinyl Single"/>
    <n v="204"/>
    <n v="1234.3948478699999"/>
    <n v="1.23439484787"/>
    <n v="6.05095513661764"/>
    <n v="1234.3948478699999"/>
    <n v="204"/>
    <s v="Physical"/>
    <s v="Vinyl Single"/>
    <x v="0"/>
  </r>
  <r>
    <x v="2"/>
    <s v="8 - Track"/>
    <n v="94.6"/>
    <n v="3399.269275093"/>
    <n v="3.3992692750929998"/>
    <n v="35.933079017896397"/>
    <n v="3399.269275093"/>
    <n v="94.6"/>
    <s v="Physical"/>
    <s v="8 - Track"/>
    <x v="0"/>
  </r>
  <r>
    <x v="2"/>
    <s v="Cassette"/>
    <n v="16.2"/>
    <n v="576.06827509300001"/>
    <n v="0.57606827509299996"/>
    <n v="35.559770067469103"/>
    <n v="576.06827509300001"/>
    <n v="16.2"/>
    <s v="Physical"/>
    <s v="Cassette"/>
    <x v="0"/>
  </r>
  <r>
    <x v="2"/>
    <s v="LP/EP"/>
    <n v="257"/>
    <n v="8658.5160780669994"/>
    <n v="8.6585160780669899"/>
    <n v="33.690724039171201"/>
    <n v="8658.5160780669994"/>
    <n v="257"/>
    <s v="Physical"/>
    <s v="LP/EP"/>
    <x v="0"/>
  </r>
  <r>
    <x v="2"/>
    <s v="Other Tapes"/>
    <n v="1.5"/>
    <n v="59.472635687999997"/>
    <n v="5.9472635688E-2"/>
    <n v="39.648423791999903"/>
    <n v="59.472635687999997"/>
    <n v="1.5"/>
    <s v="Physical"/>
    <s v="Other Tapes"/>
    <x v="0"/>
  </r>
  <r>
    <x v="2"/>
    <s v="Vinyl Single"/>
    <n v="164"/>
    <n v="1233.182592937"/>
    <n v="1.2331825929369999"/>
    <n v="7.5194060544939001"/>
    <n v="1233.182592937"/>
    <n v="164"/>
    <s v="Physical"/>
    <s v="Vinyl Single"/>
    <x v="0"/>
  </r>
  <r>
    <x v="3"/>
    <s v="8 - Track"/>
    <n v="106.1"/>
    <n v="3738.9082565909998"/>
    <n v="3.7389082565909999"/>
    <n v="35.239474614429703"/>
    <n v="3738.9082565909998"/>
    <n v="106.1"/>
    <s v="Physical"/>
    <s v="8 - Track"/>
    <x v="0"/>
  </r>
  <r>
    <x v="3"/>
    <s v="Cassette"/>
    <n v="21.8"/>
    <n v="803.242307557"/>
    <n v="0.80324230755699999"/>
    <n v="36.845977410871498"/>
    <n v="803.242307557"/>
    <n v="21.8"/>
    <s v="Physical"/>
    <s v="Cassette"/>
    <x v="0"/>
  </r>
  <r>
    <x v="3"/>
    <s v="LP/EP"/>
    <n v="273"/>
    <n v="9168.0985413010003"/>
    <n v="9.1680985413009992"/>
    <n v="33.582778539564103"/>
    <n v="9168.0985413010003"/>
    <n v="273"/>
    <s v="Physical"/>
    <s v="LP/EP"/>
    <x v="0"/>
  </r>
  <r>
    <x v="3"/>
    <s v="Other Tapes"/>
    <n v="0.7"/>
    <n v="28.116237258000002"/>
    <n v="2.8116237257999999E-2"/>
    <n v="40.166053225714201"/>
    <n v="28.116237258000002"/>
    <n v="0.7"/>
    <s v="Physical"/>
    <s v="Other Tapes"/>
    <x v="0"/>
  </r>
  <r>
    <x v="3"/>
    <s v="Vinyl Single"/>
    <n v="190"/>
    <n v="1351.2332847099999"/>
    <n v="1.3512332847099999"/>
    <n v="7.1117541300526304"/>
    <n v="1351.2332847099999"/>
    <n v="190"/>
    <s v="Physical"/>
    <s v="Vinyl Single"/>
    <x v="0"/>
  </r>
  <r>
    <x v="4"/>
    <s v="8 - Track"/>
    <n v="127.3"/>
    <n v="4198.049158416"/>
    <n v="4.1980491584159996"/>
    <n v="32.977605329269402"/>
    <n v="4198.049158416"/>
    <n v="127.3"/>
    <s v="Physical"/>
    <s v="8 - Track"/>
    <x v="0"/>
  </r>
  <r>
    <x v="4"/>
    <s v="Cassette"/>
    <n v="36.9"/>
    <n v="1292.0259801980001"/>
    <n v="1.2920259801980001"/>
    <n v="35.014254205907797"/>
    <n v="1292.0259801980001"/>
    <n v="36.9"/>
    <s v="Physical"/>
    <s v="Cassette"/>
    <x v="0"/>
  </r>
  <r>
    <x v="4"/>
    <s v="LP/EP"/>
    <n v="344"/>
    <n v="11362.685212871"/>
    <n v="11.362685212871"/>
    <n v="33.031061665322603"/>
    <n v="11362.685212871"/>
    <n v="344"/>
    <s v="Physical"/>
    <s v="LP/EP"/>
    <x v="0"/>
  </r>
  <r>
    <x v="4"/>
    <s v="Vinyl Single"/>
    <n v="190"/>
    <n v="1268.7322425740001"/>
    <n v="1.268732242574"/>
    <n v="6.6775381188105198"/>
    <n v="1268.7322425740001"/>
    <n v="190"/>
    <s v="Physical"/>
    <s v="Vinyl Single"/>
    <x v="0"/>
  </r>
  <r>
    <x v="5"/>
    <s v="8 - Track"/>
    <n v="133.6"/>
    <n v="4560.9995705519996"/>
    <n v="4.5609995705519903"/>
    <n v="34.139218342455003"/>
    <n v="4560.9995705519996"/>
    <n v="133.6"/>
    <s v="Physical"/>
    <s v="8 - Track"/>
    <x v="0"/>
  </r>
  <r>
    <x v="5"/>
    <s v="Cassette"/>
    <n v="61.3"/>
    <n v="2164.0692055210002"/>
    <n v="2.1640692055209998"/>
    <n v="35.302923417960798"/>
    <n v="2164.0692055210002"/>
    <n v="61.3"/>
    <s v="Physical"/>
    <s v="Cassette"/>
    <x v="0"/>
  </r>
  <r>
    <x v="5"/>
    <s v="LP/EP"/>
    <n v="341.3"/>
    <n v="11899.493921779"/>
    <n v="11.899493921778999"/>
    <n v="34.865203403981802"/>
    <n v="11899.493921779"/>
    <n v="341.3"/>
    <s v="Physical"/>
    <s v="LP/EP"/>
    <x v="0"/>
  </r>
  <r>
    <x v="5"/>
    <s v="Vinyl Single"/>
    <n v="190"/>
    <n v="1252.350409509"/>
    <n v="1.2523504095089999"/>
    <n v="6.5913179447842101"/>
    <n v="1252.350409509"/>
    <n v="190"/>
    <s v="Physical"/>
    <s v="Vinyl Single"/>
    <x v="0"/>
  </r>
  <r>
    <x v="6"/>
    <s v="8 - Track"/>
    <n v="102.3"/>
    <n v="2956.7132603310001"/>
    <n v="2.956713260331"/>
    <n v="28.9023779113489"/>
    <n v="2956.7132603310001"/>
    <n v="102.3"/>
    <s v="Physical"/>
    <s v="8 - Track"/>
    <x v="0"/>
  </r>
  <r>
    <x v="6"/>
    <s v="Cassette"/>
    <n v="78.5"/>
    <n v="2508.647842975"/>
    <n v="2.5086478429749999"/>
    <n v="31.9572973627388"/>
    <n v="2508.647842975"/>
    <n v="78.5"/>
    <s v="Physical"/>
    <s v="Cassette"/>
    <x v="0"/>
  </r>
  <r>
    <x v="6"/>
    <s v="LP/EP"/>
    <n v="290"/>
    <n v="8887.8549999999996"/>
    <n v="8.8878550000000001"/>
    <n v="30.647775862068901"/>
    <n v="8887.8549999999996"/>
    <n v="290"/>
    <s v="Physical"/>
    <s v="LP/EP"/>
    <x v="0"/>
  </r>
  <r>
    <x v="6"/>
    <s v="Vinyl Single"/>
    <n v="212"/>
    <n v="1527.8296198349999"/>
    <n v="1.5278296198349901"/>
    <n v="7.2067434897877298"/>
    <n v="1527.8296198349999"/>
    <n v="212"/>
    <s v="Physical"/>
    <s v="Vinyl Single"/>
    <x v="0"/>
  </r>
  <r>
    <x v="7"/>
    <s v="8 - Track"/>
    <n v="85"/>
    <n v="2006.2391140780001"/>
    <n v="2.0062391140779998"/>
    <n v="23.602813106799999"/>
    <n v="2006.2391140780001"/>
    <n v="85"/>
    <s v="Physical"/>
    <s v="8 - Track"/>
    <x v="0"/>
  </r>
  <r>
    <x v="7"/>
    <s v="Cassette"/>
    <n v="99"/>
    <n v="2683.8682645630001"/>
    <n v="2.6838682645629999"/>
    <n v="27.1097804501313"/>
    <n v="2683.8682645630001"/>
    <n v="99"/>
    <s v="Physical"/>
    <s v="Cassette"/>
    <x v="0"/>
  </r>
  <r>
    <x v="7"/>
    <s v="LP/EP"/>
    <n v="308"/>
    <n v="8375.1917475730006"/>
    <n v="8.375191747573"/>
    <n v="27.192180998613601"/>
    <n v="8375.1917475730006"/>
    <n v="308"/>
    <s v="Physical"/>
    <s v="LP/EP"/>
    <x v="0"/>
  </r>
  <r>
    <x v="7"/>
    <s v="Vinyl Single"/>
    <n v="157"/>
    <n v="951.72633495100001"/>
    <n v="0.95172633495100001"/>
    <n v="6.0619511780318396"/>
    <n v="951.72633495100001"/>
    <n v="157"/>
    <s v="Physical"/>
    <s v="Vinyl Single"/>
    <x v="0"/>
  </r>
  <r>
    <x v="8"/>
    <s v="8 - Track"/>
    <n v="50"/>
    <n v="1080.139240924"/>
    <n v="1.080139240924"/>
    <n v="21.60278481848"/>
    <n v="1080.139240924"/>
    <n v="50"/>
    <s v="Physical"/>
    <s v="8 - Track"/>
    <x v="0"/>
  </r>
  <r>
    <x v="8"/>
    <s v="Cassette"/>
    <n v="124"/>
    <n v="3667.642125413"/>
    <n v="3.6676421254129998"/>
    <n v="29.577759075911199"/>
    <n v="3667.642125413"/>
    <n v="124"/>
    <s v="Physical"/>
    <s v="Cassette"/>
    <x v="0"/>
  </r>
  <r>
    <x v="8"/>
    <s v="LP/EP"/>
    <n v="295.2"/>
    <n v="8081.028947195"/>
    <n v="8.0810289471949996"/>
    <n v="27.374759306216099"/>
    <n v="8081.028947195"/>
    <n v="295.2"/>
    <s v="Physical"/>
    <s v="LP/EP"/>
    <x v="0"/>
  </r>
  <r>
    <x v="8"/>
    <s v="Vinyl Single"/>
    <n v="154.69999999999999"/>
    <n v="884.81693729400001"/>
    <n v="0.88481693729400002"/>
    <n v="5.7195664983451797"/>
    <n v="884.81693729400001"/>
    <n v="154.69999999999999"/>
    <s v="Physical"/>
    <s v="Vinyl Single"/>
    <x v="0"/>
  </r>
  <r>
    <x v="9"/>
    <s v="8 - Track"/>
    <n v="13.7"/>
    <n v="117.023875648"/>
    <n v="0.117023875648"/>
    <n v="8.5418887334306497"/>
    <n v="117.023875648"/>
    <n v="13.7"/>
    <s v="Physical"/>
    <s v="8 - Track"/>
    <x v="0"/>
  </r>
  <r>
    <x v="9"/>
    <s v="Cassette"/>
    <n v="183.2"/>
    <n v="4500.5432176169998"/>
    <n v="4.5005432176169897"/>
    <n v="24.566283938957401"/>
    <n v="4500.5432176169998"/>
    <n v="183.2"/>
    <s v="Physical"/>
    <s v="Cassette"/>
    <x v="0"/>
  </r>
  <r>
    <x v="9"/>
    <s v="LP/EP"/>
    <n v="243.9"/>
    <n v="6257.8517502590003"/>
    <n v="6.2578517502590003"/>
    <n v="25.657448750549399"/>
    <n v="6257.8517502590003"/>
    <n v="243.9"/>
    <s v="Physical"/>
    <s v="LP/EP"/>
    <x v="0"/>
  </r>
  <r>
    <x v="9"/>
    <s v="Vinyl Single"/>
    <n v="137.19999999999999"/>
    <n v="919.93768911899997"/>
    <n v="0.91993768911899998"/>
    <n v="6.7050851976603498"/>
    <n v="919.93768911899997"/>
    <n v="137.19999999999999"/>
    <s v="Physical"/>
    <s v="Vinyl Single"/>
    <x v="0"/>
  </r>
  <r>
    <x v="10"/>
    <s v="CD"/>
    <n v="0.8"/>
    <n v="54.171192771000001"/>
    <n v="5.4171192771E-2"/>
    <n v="67.713990963749893"/>
    <n v="54.171192771000001"/>
    <n v="0.8"/>
    <s v="Physical"/>
    <s v="CD"/>
    <x v="0"/>
  </r>
  <r>
    <x v="10"/>
    <s v="Cassette"/>
    <n v="236.8"/>
    <n v="5703.4077319280004"/>
    <n v="5.7034077319280003"/>
    <n v="24.085336705776999"/>
    <n v="5703.4077319280004"/>
    <n v="236.8"/>
    <s v="Physical"/>
    <s v="Cassette"/>
    <x v="0"/>
  </r>
  <r>
    <x v="10"/>
    <s v="LP/EP"/>
    <n v="209.6"/>
    <n v="5319.4851506020004"/>
    <n v="5.3194851506019996"/>
    <n v="25.379223046765201"/>
    <n v="5319.4851506020004"/>
    <n v="209.6"/>
    <s v="Physical"/>
    <s v="LP/EP"/>
    <x v="0"/>
  </r>
  <r>
    <x v="10"/>
    <s v="Vinyl Single"/>
    <n v="124.8"/>
    <n v="848.15710542199997"/>
    <n v="0.84815710542199996"/>
    <n v="6.7961306524198699"/>
    <n v="848.15710542199997"/>
    <n v="124.8"/>
    <s v="Physical"/>
    <s v="Vinyl Single"/>
    <x v="0"/>
  </r>
  <r>
    <x v="11"/>
    <s v="CD"/>
    <n v="5.8"/>
    <n v="311.87751395599997"/>
    <n v="0.311877513956"/>
    <n v="53.771985164827498"/>
    <n v="311.87751395599997"/>
    <n v="5.8"/>
    <s v="Physical"/>
    <s v="CD"/>
    <x v="0"/>
  </r>
  <r>
    <x v="11"/>
    <s v="Cassette"/>
    <n v="332"/>
    <n v="7197.3359682390001"/>
    <n v="7.1973359682389999"/>
    <n v="21.678722795900601"/>
    <n v="7197.3359682390001"/>
    <n v="332"/>
    <s v="Physical"/>
    <s v="Cassette"/>
    <x v="0"/>
  </r>
  <r>
    <x v="11"/>
    <s v="LP/EP"/>
    <n v="204.6"/>
    <n v="4676.0493089510001"/>
    <n v="4.6760493089509998"/>
    <n v="22.854590952839601"/>
    <n v="4676.0493089510001"/>
    <n v="204.6"/>
    <s v="Physical"/>
    <s v="LP/EP"/>
    <x v="0"/>
  </r>
  <r>
    <x v="11"/>
    <s v="Vinyl Single"/>
    <n v="131.5"/>
    <n v="901.81813570700001"/>
    <n v="0.90181813570699998"/>
    <n v="6.8579325909277502"/>
    <n v="901.81813570700001"/>
    <n v="131.5"/>
    <s v="Physical"/>
    <s v="Vinyl Single"/>
    <x v="0"/>
  </r>
  <r>
    <x v="12"/>
    <s v="CD"/>
    <n v="22.6"/>
    <n v="1135.5191960970001"/>
    <n v="1.1355191960969999"/>
    <n v="50.244212216681397"/>
    <n v="1135.5191960970001"/>
    <n v="22.6"/>
    <s v="Physical"/>
    <s v="CD"/>
    <x v="0"/>
  </r>
  <r>
    <x v="12"/>
    <s v="Cassette"/>
    <n v="339.1"/>
    <n v="7030.3069098509995"/>
    <n v="7.0303069098509896"/>
    <n v="20.7322527568593"/>
    <n v="7030.3069098509995"/>
    <n v="339.1"/>
    <s v="Physical"/>
    <s v="Cassette"/>
    <x v="0"/>
  </r>
  <r>
    <x v="12"/>
    <s v="LP/EP"/>
    <n v="167"/>
    <n v="3733.0740195170001"/>
    <n v="3.7330740195169998"/>
    <n v="22.353736643814301"/>
    <n v="3733.0740195170001"/>
    <n v="167"/>
    <s v="Physical"/>
    <s v="LP/EP"/>
    <x v="0"/>
  </r>
  <r>
    <x v="12"/>
    <s v="Vinyl Single"/>
    <n v="120.7"/>
    <n v="819.206403346"/>
    <n v="0.81920640334600003"/>
    <n v="6.7871284452858296"/>
    <n v="819.206403346"/>
    <n v="120.7"/>
    <s v="Physical"/>
    <s v="Vinyl Single"/>
    <x v="0"/>
  </r>
  <r>
    <x v="13"/>
    <s v="CD"/>
    <n v="53"/>
    <n v="2662.0633111309999"/>
    <n v="2.6620633111309999"/>
    <n v="50.227609643981097"/>
    <n v="2662.0633111309999"/>
    <n v="53"/>
    <s v="Physical"/>
    <s v="CD"/>
    <x v="0"/>
  </r>
  <r>
    <x v="13"/>
    <s v="Cassette"/>
    <n v="344.5"/>
    <n v="7153.8837180660003"/>
    <n v="7.153883718066"/>
    <n v="20.765990473340999"/>
    <n v="7153.8837180660003"/>
    <n v="344.5"/>
    <s v="Physical"/>
    <s v="Cassette"/>
    <x v="0"/>
  </r>
  <r>
    <x v="13"/>
    <s v="LP/EP"/>
    <n v="125.2"/>
    <n v="2813.4697718980001"/>
    <n v="2.8134697718980002"/>
    <n v="22.4718032899201"/>
    <n v="2813.4697718980001"/>
    <n v="125.2"/>
    <s v="Physical"/>
    <s v="LP/EP"/>
    <x v="0"/>
  </r>
  <r>
    <x v="13"/>
    <s v="Vinyl Single"/>
    <n v="93.9"/>
    <n v="652.85092062000001"/>
    <n v="0.65285092062000005"/>
    <n v="6.9526189629392903"/>
    <n v="652.85092062000001"/>
    <n v="93.9"/>
    <s v="Physical"/>
    <s v="Vinyl Single"/>
    <x v="0"/>
  </r>
  <r>
    <x v="14"/>
    <s v="CD"/>
    <n v="102.1"/>
    <n v="4400.4823098590005"/>
    <n v="4.400482309859"/>
    <n v="43.099728793917699"/>
    <n v="4400.4823098590005"/>
    <n v="102.1"/>
    <s v="Physical"/>
    <s v="CD"/>
    <x v="0"/>
  </r>
  <r>
    <x v="14"/>
    <s v="Cassette"/>
    <n v="410"/>
    <n v="8172.7582156689996"/>
    <n v="8.1727582156689902"/>
    <n v="19.933556623582898"/>
    <n v="8172.7582156689996"/>
    <n v="410"/>
    <s v="Physical"/>
    <s v="Cassette"/>
    <x v="0"/>
  </r>
  <r>
    <x v="14"/>
    <s v="Cassette Single"/>
    <n v="5.0999999999999996"/>
    <n v="39.487259682999998"/>
    <n v="3.9487259683000001E-2"/>
    <n v="7.7425999378431296"/>
    <n v="39.487259682999998"/>
    <n v="5.0999999999999996"/>
    <s v="Physical"/>
    <s v="Cassette Single"/>
    <x v="0"/>
  </r>
  <r>
    <x v="14"/>
    <s v="LP/EP"/>
    <n v="107"/>
    <n v="2190.0241716549999"/>
    <n v="2.1900241716550002"/>
    <n v="20.4675156229439"/>
    <n v="2190.0241716549999"/>
    <n v="107"/>
    <s v="Physical"/>
    <s v="LP/EP"/>
    <x v="0"/>
  </r>
  <r>
    <x v="14"/>
    <s v="Vinyl Single"/>
    <n v="82"/>
    <n v="561.381810739"/>
    <n v="0.56138181073899995"/>
    <n v="6.8461196431585298"/>
    <n v="561.381810739"/>
    <n v="82"/>
    <s v="Physical"/>
    <s v="Vinyl Single"/>
    <x v="0"/>
  </r>
  <r>
    <x v="15"/>
    <s v="CD"/>
    <n v="149.69999999999999"/>
    <n v="5541.6622240070001"/>
    <n v="5.5416622240070001"/>
    <n v="37.018451730173602"/>
    <n v="5541.6622240070001"/>
    <n v="149.69999999999999"/>
    <s v="Physical"/>
    <s v="CD"/>
    <x v="0"/>
  </r>
  <r>
    <x v="15"/>
    <s v="CD Single"/>
    <n v="1.6"/>
    <n v="25.986071006"/>
    <n v="2.5986071005999999E-2"/>
    <n v="16.241294378749998"/>
    <n v="25.986071006"/>
    <n v="1.6"/>
    <s v="Physical"/>
    <s v="CD Single"/>
    <x v="0"/>
  </r>
  <r>
    <x v="15"/>
    <s v="Cassette"/>
    <n v="450.1"/>
    <n v="8976.0662206260004"/>
    <n v="8.9760662206260005"/>
    <n v="19.9423821831281"/>
    <n v="8976.0662206260004"/>
    <n v="450.1"/>
    <s v="Physical"/>
    <s v="Cassette"/>
    <x v="0"/>
  </r>
  <r>
    <x v="15"/>
    <s v="Cassette Single"/>
    <n v="22.5"/>
    <n v="151.93896618799999"/>
    <n v="0.15193896618799901"/>
    <n v="6.75284294168888"/>
    <n v="151.93896618799999"/>
    <n v="22.5"/>
    <s v="Physical"/>
    <s v="Cassette Single"/>
    <x v="0"/>
  </r>
  <r>
    <x v="15"/>
    <s v="LP/EP"/>
    <n v="72.400000000000006"/>
    <n v="1411.202754015"/>
    <n v="1.4112027540150001"/>
    <n v="19.491750746063499"/>
    <n v="1411.202754015"/>
    <n v="72.400000000000006"/>
    <s v="Physical"/>
    <s v="LP/EP"/>
    <x v="0"/>
  </r>
  <r>
    <x v="15"/>
    <s v="Vinyl Single"/>
    <n v="65.599999999999994"/>
    <n v="478.35583770099998"/>
    <n v="0.47835583770099999"/>
    <n v="7.29200972105183"/>
    <n v="478.35583770099998"/>
    <n v="65.599999999999994"/>
    <s v="Physical"/>
    <s v="Vinyl Single"/>
    <x v="0"/>
  </r>
  <r>
    <x v="16"/>
    <s v="CD"/>
    <n v="207.2"/>
    <n v="6546.2340750000003"/>
    <n v="6.5462340750000001"/>
    <n v="31.593793798262499"/>
    <n v="6546.2340750000003"/>
    <n v="207.2"/>
    <s v="Physical"/>
    <s v="CD"/>
    <x v="0"/>
  </r>
  <r>
    <x v="16"/>
    <s v="CD Single"/>
    <n v="-0.1"/>
    <m/>
    <m/>
    <m/>
    <m/>
    <n v="-0.1"/>
    <s v="Physical"/>
    <s v="CD Single"/>
    <x v="0"/>
  </r>
  <r>
    <x v="16"/>
    <s v="Cassette"/>
    <n v="446.2"/>
    <n v="8464.0375499999991"/>
    <n v="8.4640375499999898"/>
    <n v="18.9691563200358"/>
    <n v="8464.0375499999991"/>
    <n v="446.2"/>
    <s v="Physical"/>
    <s v="Cassette"/>
    <x v="0"/>
  </r>
  <r>
    <x v="16"/>
    <s v="Cassette Single"/>
    <n v="76.2"/>
    <n v="492.28935000000001"/>
    <n v="0.49228935000000001"/>
    <n v="6.4604901574803097"/>
    <n v="492.28935000000001"/>
    <n v="76.2"/>
    <s v="Physical"/>
    <s v="Cassette Single"/>
    <x v="0"/>
  </r>
  <r>
    <x v="16"/>
    <s v="LP/EP"/>
    <n v="34.6"/>
    <n v="557.30392500000005"/>
    <n v="0.55730392500000003"/>
    <n v="16.107049855491301"/>
    <n v="557.30392500000005"/>
    <n v="34.6"/>
    <s v="Physical"/>
    <s v="LP/EP"/>
    <x v="0"/>
  </r>
  <r>
    <x v="16"/>
    <s v="Music Video (Physical)"/>
    <n v="6.1"/>
    <n v="291.93315000000001"/>
    <n v="0.29193314999999997"/>
    <n v="47.857893442622903"/>
    <n v="291.93315000000001"/>
    <n v="6.1"/>
    <s v="Physical"/>
    <s v="Music Video (Physical)"/>
    <x v="0"/>
  </r>
  <r>
    <x v="16"/>
    <s v="Vinyl Single"/>
    <n v="36.6"/>
    <n v="294.46289999999999"/>
    <n v="0.29446289999999897"/>
    <n v="8.0454344262294999"/>
    <n v="294.46289999999999"/>
    <n v="36.6"/>
    <s v="Physical"/>
    <s v="Vinyl Single"/>
    <x v="0"/>
  </r>
  <r>
    <x v="17"/>
    <s v="CD"/>
    <n v="286.5"/>
    <n v="8284.0776771229994"/>
    <n v="8.2840776771229994"/>
    <n v="28.914756290132601"/>
    <n v="8284.0776771229994"/>
    <n v="286.5"/>
    <s v="Physical"/>
    <s v="CD"/>
    <x v="0"/>
  </r>
  <r>
    <x v="17"/>
    <s v="CD Single"/>
    <n v="1.1000000000000001"/>
    <n v="14.400413159999999"/>
    <n v="1.440041316E-2"/>
    <n v="13.091284690908999"/>
    <n v="14.400413159999999"/>
    <n v="1.1000000000000001"/>
    <s v="Physical"/>
    <s v="CD Single"/>
    <x v="0"/>
  </r>
  <r>
    <x v="17"/>
    <s v="Cassette"/>
    <n v="442.2"/>
    <n v="8333.9991094109992"/>
    <n v="8.3339991094109998"/>
    <n v="18.846673698351399"/>
    <n v="8333.9991094109992"/>
    <n v="442.2"/>
    <s v="Physical"/>
    <s v="Cassette"/>
    <x v="0"/>
  </r>
  <r>
    <x v="17"/>
    <s v="Cassette Single"/>
    <n v="87.4"/>
    <n v="618.97775898999998"/>
    <n v="0.61897775898999996"/>
    <n v="7.0821253889016003"/>
    <n v="618.97775898999998"/>
    <n v="87.4"/>
    <s v="Physical"/>
    <s v="Cassette Single"/>
    <x v="0"/>
  </r>
  <r>
    <x v="17"/>
    <s v="LP/EP"/>
    <n v="11.7"/>
    <n v="207.605956389"/>
    <n v="0.20760595638900001"/>
    <n v="17.744098836666598"/>
    <n v="207.605956389"/>
    <n v="11.7"/>
    <s v="Physical"/>
    <s v="LP/EP"/>
    <x v="0"/>
  </r>
  <r>
    <x v="17"/>
    <s v="Music Video (Physical)"/>
    <n v="9.1999999999999993"/>
    <n v="413.53186457499999"/>
    <n v="0.41353186457500002"/>
    <n v="44.949115714673901"/>
    <n v="413.53186457499999"/>
    <n v="9.1999999999999993"/>
    <s v="Physical"/>
    <s v="Music Video (Physical)"/>
    <x v="0"/>
  </r>
  <r>
    <x v="17"/>
    <s v="Vinyl Single"/>
    <n v="27.6"/>
    <n v="226.566500383"/>
    <n v="0.226566500383"/>
    <n v="8.2089311732971009"/>
    <n v="226.566500383"/>
    <n v="27.6"/>
    <s v="Physical"/>
    <s v="Vinyl Single"/>
    <x v="0"/>
  </r>
  <r>
    <x v="18"/>
    <s v="CD"/>
    <n v="333.3"/>
    <n v="9990.3727995589998"/>
    <n v="9.9903727995589993"/>
    <n v="29.974115810257999"/>
    <n v="9990.3727995589998"/>
    <n v="333.3"/>
    <s v="Physical"/>
    <s v="CD"/>
    <x v="0"/>
  </r>
  <r>
    <x v="18"/>
    <s v="CD Single"/>
    <n v="5.7"/>
    <n v="80.840557269000001"/>
    <n v="8.0840557268999996E-2"/>
    <n v="14.1825539068421"/>
    <n v="80.840557269000001"/>
    <n v="5.7"/>
    <s v="Physical"/>
    <s v="CD Single"/>
    <x v="0"/>
  </r>
  <r>
    <x v="18"/>
    <s v="Cassette"/>
    <n v="360.1"/>
    <n v="6954.5910748899996"/>
    <n v="6.9545910748899997"/>
    <n v="19.312943834740299"/>
    <n v="6954.5910748899996"/>
    <n v="360.1"/>
    <s v="Physical"/>
    <s v="Cassette"/>
    <x v="0"/>
  </r>
  <r>
    <x v="18"/>
    <s v="Cassette Single"/>
    <n v="69"/>
    <n v="530.64570925099997"/>
    <n v="0.53064570925099996"/>
    <n v="7.6905175253768103"/>
    <n v="530.64570925099997"/>
    <n v="69"/>
    <s v="Physical"/>
    <s v="Cassette Single"/>
    <x v="0"/>
  </r>
  <r>
    <x v="18"/>
    <s v="LP/EP"/>
    <n v="4.8"/>
    <n v="67.712603524000002"/>
    <n v="6.7712603524000006E-2"/>
    <n v="14.106792400833299"/>
    <n v="67.712603524000002"/>
    <n v="4.8"/>
    <s v="Physical"/>
    <s v="LP/EP"/>
    <x v="0"/>
  </r>
  <r>
    <x v="18"/>
    <s v="Music Video (Physical)"/>
    <n v="6.1"/>
    <n v="272.001988987"/>
    <n v="0.27200198898700001"/>
    <n v="44.590489997868801"/>
    <n v="272.001988987"/>
    <n v="6.1"/>
    <s v="Physical"/>
    <s v="Music Video (Physical)"/>
    <x v="0"/>
  </r>
  <r>
    <x v="18"/>
    <s v="Vinyl Single"/>
    <n v="22"/>
    <n v="147.17127092499999"/>
    <n v="0.14717127092499999"/>
    <n v="6.6896032238636298"/>
    <n v="147.17127092499999"/>
    <n v="22"/>
    <s v="Physical"/>
    <s v="Vinyl Single"/>
    <x v="0"/>
  </r>
  <r>
    <x v="19"/>
    <s v="CD"/>
    <n v="407.5"/>
    <n v="11909.226361368001"/>
    <n v="11.909226361368001"/>
    <n v="29.2250953653202"/>
    <n v="11909.226361368001"/>
    <n v="407.5"/>
    <s v="Physical"/>
    <s v="CD"/>
    <x v="0"/>
  </r>
  <r>
    <x v="19"/>
    <s v="CD Single"/>
    <n v="7.3"/>
    <n v="100.836592302"/>
    <n v="0.100836592302"/>
    <n v="13.8132318221917"/>
    <n v="100.836592302"/>
    <n v="7.3"/>
    <s v="Physical"/>
    <s v="CD Single"/>
    <x v="0"/>
  </r>
  <r>
    <x v="19"/>
    <s v="Cassette"/>
    <n v="366.4"/>
    <n v="6967.5625851750001"/>
    <n v="6.967562585175"/>
    <n v="19.016273431154399"/>
    <n v="6967.5625851750001"/>
    <n v="366.4"/>
    <s v="Physical"/>
    <s v="Cassette"/>
    <x v="0"/>
  </r>
  <r>
    <x v="19"/>
    <s v="Cassette Single"/>
    <n v="84.6"/>
    <n v="668.07037205999995"/>
    <n v="0.66807037205999997"/>
    <n v="7.89681290851063"/>
    <n v="668.07037205999995"/>
    <n v="84.6"/>
    <s v="Physical"/>
    <s v="Cassette Single"/>
    <x v="0"/>
  </r>
  <r>
    <x v="19"/>
    <s v="LP/EP"/>
    <n v="2.2999999999999998"/>
    <n v="30.183902352"/>
    <n v="3.0183902352000001E-2"/>
    <n v="13.1234358052173"/>
    <n v="30.183902352"/>
    <n v="2.2999999999999998"/>
    <s v="Physical"/>
    <s v="LP/EP"/>
    <x v="0"/>
  </r>
  <r>
    <x v="19"/>
    <s v="Music Video (Physical)"/>
    <n v="7.6"/>
    <n v="351.92194297899999"/>
    <n v="0.35192194297899998"/>
    <n v="46.305518813026303"/>
    <n v="351.92194297899999"/>
    <n v="7.6"/>
    <s v="Physical"/>
    <s v="Music Video (Physical)"/>
    <x v="0"/>
  </r>
  <r>
    <x v="19"/>
    <s v="Vinyl Single"/>
    <n v="19.8"/>
    <n v="148.46008268"/>
    <n v="0.14846008267999999"/>
    <n v="7.4979839737373704"/>
    <n v="148.46008268"/>
    <n v="19.8"/>
    <s v="Physical"/>
    <s v="Vinyl Single"/>
    <x v="0"/>
  </r>
  <r>
    <x v="20"/>
    <s v="CD"/>
    <n v="495.4"/>
    <n v="14135.325637370001"/>
    <n v="14.13532563737"/>
    <n v="28.533156312817901"/>
    <n v="14135.325637370001"/>
    <n v="495.4"/>
    <s v="Physical"/>
    <s v="CD"/>
    <x v="0"/>
  </r>
  <r>
    <x v="20"/>
    <s v="CD Single"/>
    <n v="7.8"/>
    <n v="99.425302422000001"/>
    <n v="9.9425302421999998E-2"/>
    <n v="12.746833643846101"/>
    <n v="99.425302422000001"/>
    <n v="7.8"/>
    <s v="Physical"/>
    <s v="CD Single"/>
    <x v="0"/>
  </r>
  <r>
    <x v="20"/>
    <s v="Cassette"/>
    <n v="339.5"/>
    <n v="6329.788139792"/>
    <n v="6.3297881397919999"/>
    <n v="18.644442237973401"/>
    <n v="6329.788139792"/>
    <n v="339.5"/>
    <s v="Physical"/>
    <s v="Cassette"/>
    <x v="0"/>
  </r>
  <r>
    <x v="20"/>
    <s v="Cassette Single"/>
    <n v="85.6"/>
    <n v="648.00115224900003"/>
    <n v="0.64800115224900001"/>
    <n v="7.5701069187967303"/>
    <n v="648.00115224900003"/>
    <n v="85.6"/>
    <s v="Physical"/>
    <s v="Cassette Single"/>
    <x v="0"/>
  </r>
  <r>
    <x v="20"/>
    <s v="LP/EP"/>
    <n v="1.2"/>
    <n v="23.011096194"/>
    <n v="2.3011096193999998E-2"/>
    <n v="19.175913495"/>
    <n v="23.011096194"/>
    <n v="1.2"/>
    <s v="Physical"/>
    <s v="LP/EP"/>
    <x v="0"/>
  </r>
  <r>
    <x v="20"/>
    <s v="Music Video (Physical)"/>
    <n v="11"/>
    <n v="463.044039446"/>
    <n v="0.46304403944599998"/>
    <n v="42.094912676908997"/>
    <n v="463.044039446"/>
    <n v="11"/>
    <s v="Physical"/>
    <s v="Music Video (Physical)"/>
    <x v="0"/>
  </r>
  <r>
    <x v="20"/>
    <s v="Vinyl Single"/>
    <n v="15.1"/>
    <n v="111.147936332"/>
    <n v="0.111147936332"/>
    <n v="7.3607904855629096"/>
    <n v="111.147936332"/>
    <n v="15.1"/>
    <s v="Physical"/>
    <s v="Vinyl Single"/>
    <x v="0"/>
  </r>
  <r>
    <x v="21"/>
    <s v="CD"/>
    <n v="662.1"/>
    <n v="17916.467884614998"/>
    <n v="17.916467884614999"/>
    <n v="27.060063260255198"/>
    <n v="17916.467884614998"/>
    <n v="662.1"/>
    <s v="Physical"/>
    <s v="CD"/>
    <x v="0"/>
  </r>
  <r>
    <x v="21"/>
    <s v="CD Single"/>
    <n v="9.3000000000000007"/>
    <n v="118.74462145699999"/>
    <n v="0.118744621457"/>
    <n v="12.768238866343999"/>
    <n v="118.74462145699999"/>
    <n v="9.3000000000000007"/>
    <s v="Physical"/>
    <s v="CD Single"/>
    <x v="0"/>
  </r>
  <r>
    <x v="21"/>
    <s v="Cassette"/>
    <n v="345.4"/>
    <n v="6300.0265829959999"/>
    <n v="6.3000265829959998"/>
    <n v="18.239799024307999"/>
    <n v="6300.0265829959999"/>
    <n v="345.4"/>
    <s v="Physical"/>
    <s v="Cassette"/>
    <x v="0"/>
  </r>
  <r>
    <x v="21"/>
    <s v="Cassette Single"/>
    <n v="81.099999999999994"/>
    <n v="581.86981174100003"/>
    <n v="0.58186981174100005"/>
    <n v="7.1747202434155302"/>
    <n v="581.86981174100003"/>
    <n v="81.099999999999994"/>
    <s v="Physical"/>
    <s v="Cassette Single"/>
    <x v="0"/>
  </r>
  <r>
    <x v="21"/>
    <s v="LP/EP"/>
    <n v="1.9"/>
    <n v="37.676546559000002"/>
    <n v="3.7676546558999997E-2"/>
    <n v="19.829761346842101"/>
    <n v="37.676546559000002"/>
    <n v="1.9"/>
    <s v="Physical"/>
    <s v="LP/EP"/>
    <x v="0"/>
  </r>
  <r>
    <x v="21"/>
    <s v="Music Video (Physical)"/>
    <n v="11.2"/>
    <n v="489.16010728700002"/>
    <n v="0.48916010728699999"/>
    <n v="43.675009579196399"/>
    <n v="489.16010728700002"/>
    <n v="11.2"/>
    <s v="Physical"/>
    <s v="Music Video (Physical)"/>
    <x v="0"/>
  </r>
  <r>
    <x v="21"/>
    <s v="Vinyl Single"/>
    <n v="11.7"/>
    <n v="99.906348178000002"/>
    <n v="9.9906348177999996E-2"/>
    <n v="8.53900411777777"/>
    <n v="99.906348178000002"/>
    <n v="11.7"/>
    <s v="Physical"/>
    <s v="Vinyl Single"/>
    <x v="0"/>
  </r>
  <r>
    <x v="22"/>
    <s v="CD"/>
    <n v="722.9"/>
    <n v="19301.753468504001"/>
    <n v="19.301753468504"/>
    <n v="26.700447459543501"/>
    <n v="19301.753468504001"/>
    <n v="722.9"/>
    <s v="Physical"/>
    <s v="CD"/>
    <x v="0"/>
  </r>
  <r>
    <x v="22"/>
    <s v="CD Single"/>
    <n v="21.5"/>
    <n v="228.268438976"/>
    <n v="0.22826843897599999"/>
    <n v="10.6171366965581"/>
    <n v="228.268438976"/>
    <n v="21.5"/>
    <s v="Physical"/>
    <s v="CD Single"/>
    <x v="0"/>
  </r>
  <r>
    <x v="22"/>
    <s v="Cassette"/>
    <n v="272.60000000000002"/>
    <n v="4741.5615511810001"/>
    <n v="4.7415615511810003"/>
    <n v="17.3938428143103"/>
    <n v="4741.5615511810001"/>
    <n v="272.60000000000002"/>
    <s v="Physical"/>
    <s v="Cassette"/>
    <x v="0"/>
  </r>
  <r>
    <x v="22"/>
    <s v="Cassette Single"/>
    <n v="70.7"/>
    <n v="486.38261614200002"/>
    <n v="0.48638261614200001"/>
    <n v="6.8795278096463903"/>
    <n v="486.38261614200002"/>
    <n v="70.7"/>
    <s v="Physical"/>
    <s v="Cassette Single"/>
    <x v="0"/>
  </r>
  <r>
    <x v="22"/>
    <s v="LP/EP"/>
    <n v="2.2000000000000002"/>
    <n v="51.664001968999997"/>
    <n v="5.1664001968999999E-2"/>
    <n v="23.4836372586363"/>
    <n v="51.664001968999997"/>
    <n v="2.2000000000000002"/>
    <s v="Physical"/>
    <s v="LP/EP"/>
    <x v="0"/>
  </r>
  <r>
    <x v="22"/>
    <s v="Music Video (Physical)"/>
    <n v="12.6"/>
    <n v="453.44938779500001"/>
    <n v="0.45344938779499999"/>
    <n v="35.988046650396797"/>
    <n v="453.44938779500001"/>
    <n v="12.6"/>
    <s v="Physical"/>
    <s v="Music Video (Physical)"/>
    <x v="0"/>
  </r>
  <r>
    <x v="22"/>
    <s v="Vinyl Single"/>
    <n v="10.199999999999999"/>
    <n v="96.123860235999999"/>
    <n v="9.6123860236000003E-2"/>
    <n v="9.4239078662745097"/>
    <n v="96.123860235999999"/>
    <n v="10.199999999999999"/>
    <s v="Physical"/>
    <s v="Vinyl Single"/>
    <x v="0"/>
  </r>
  <r>
    <x v="23"/>
    <s v="CD"/>
    <n v="778.9"/>
    <n v="19862.371627150998"/>
    <n v="19.862371627150999"/>
    <n v="25.5005413110168"/>
    <n v="19862.371627150998"/>
    <n v="778.9"/>
    <s v="Physical"/>
    <s v="CD"/>
    <x v="0"/>
  </r>
  <r>
    <x v="23"/>
    <s v="CD Single"/>
    <n v="43.2"/>
    <n v="368.06975717"/>
    <n v="0.36806975717000001"/>
    <n v="8.52013326782407"/>
    <n v="368.06975717"/>
    <n v="43.2"/>
    <s v="Physical"/>
    <s v="CD Single"/>
    <x v="0"/>
  </r>
  <r>
    <x v="23"/>
    <s v="Cassette"/>
    <n v="225.3"/>
    <n v="3809.2520822179999"/>
    <n v="3.8092520822179998"/>
    <n v="16.907465966347001"/>
    <n v="3809.2520822179999"/>
    <n v="225.3"/>
    <s v="Physical"/>
    <s v="Cassette"/>
    <x v="0"/>
  </r>
  <r>
    <x v="23"/>
    <s v="Cassette Single"/>
    <n v="59.9"/>
    <n v="378.46607839400002"/>
    <n v="0.37846607839399998"/>
    <n v="6.3182984706844696"/>
    <n v="378.46607839400002"/>
    <n v="59.9"/>
    <s v="Physical"/>
    <s v="Cassette Single"/>
    <x v="0"/>
  </r>
  <r>
    <x v="23"/>
    <s v="LP/EP"/>
    <n v="2.9"/>
    <n v="73.573965583000003"/>
    <n v="7.3573965583000001E-2"/>
    <n v="25.370332959655101"/>
    <n v="73.573965583000003"/>
    <n v="2.9"/>
    <s v="Physical"/>
    <s v="LP/EP"/>
    <x v="0"/>
  </r>
  <r>
    <x v="23"/>
    <s v="Music Video (Physical)"/>
    <n v="16.899999999999999"/>
    <n v="472.032969407"/>
    <n v="0.47203296940700001"/>
    <n v="27.9309449353254"/>
    <n v="472.032969407"/>
    <n v="16.899999999999999"/>
    <s v="Physical"/>
    <s v="Music Video (Physical)"/>
    <x v="0"/>
  </r>
  <r>
    <x v="23"/>
    <s v="Vinyl Single"/>
    <n v="10.1"/>
    <n v="94.966395793000004"/>
    <n v="9.4966395792999994E-2"/>
    <n v="9.4026134448514807"/>
    <n v="94.966395793000004"/>
    <n v="10.1"/>
    <s v="Physical"/>
    <s v="Vinyl Single"/>
    <x v="0"/>
  </r>
  <r>
    <x v="24"/>
    <s v="CD"/>
    <n v="753.1"/>
    <n v="19378.553295327001"/>
    <n v="19.378553295326999"/>
    <n v="25.7317133120794"/>
    <n v="19378.553295327001"/>
    <n v="753.1"/>
    <s v="Physical"/>
    <s v="CD"/>
    <x v="0"/>
  </r>
  <r>
    <x v="24"/>
    <s v="CD Single"/>
    <n v="66.7"/>
    <n v="532.97813270999995"/>
    <n v="0.53297813270999905"/>
    <n v="7.9906766523238302"/>
    <n v="532.97813270999995"/>
    <n v="66.7"/>
    <s v="Physical"/>
    <s v="CD Single"/>
    <x v="0"/>
  </r>
  <r>
    <x v="24"/>
    <s v="Cassette"/>
    <n v="172.6"/>
    <n v="2976.0388803740002"/>
    <n v="2.9760388803739999"/>
    <n v="17.242403710162201"/>
    <n v="2976.0388803740002"/>
    <n v="172.6"/>
    <s v="Physical"/>
    <s v="Cassette"/>
    <x v="0"/>
  </r>
  <r>
    <x v="24"/>
    <s v="Cassette Single"/>
    <n v="42.2"/>
    <n v="260.91888784999998"/>
    <n v="0.26091888785"/>
    <n v="6.1829120343601804"/>
    <n v="260.91888784999998"/>
    <n v="42.2"/>
    <s v="Physical"/>
    <s v="Cassette Single"/>
    <x v="0"/>
  </r>
  <r>
    <x v="24"/>
    <s v="LP/EP"/>
    <n v="2.7"/>
    <n v="65.083138317999996"/>
    <n v="6.5083138318E-2"/>
    <n v="24.104866043703701"/>
    <n v="65.083138317999996"/>
    <n v="2.7"/>
    <s v="Physical"/>
    <s v="LP/EP"/>
    <x v="0"/>
  </r>
  <r>
    <x v="24"/>
    <s v="Music Video (Physical)"/>
    <n v="18.600000000000001"/>
    <n v="633.04590093499996"/>
    <n v="0.63304590093500002"/>
    <n v="34.034725856720399"/>
    <n v="633.04590093499996"/>
    <n v="18.600000000000001"/>
    <s v="Physical"/>
    <s v="Music Video (Physical)"/>
    <x v="0"/>
  </r>
  <r>
    <x v="24"/>
    <s v="Vinyl Single"/>
    <n v="7.5"/>
    <n v="69.578370093000004"/>
    <n v="6.9578370092999997E-2"/>
    <n v="9.2771160124000005"/>
    <n v="69.578370093000004"/>
    <n v="7.5"/>
    <s v="Physical"/>
    <s v="Vinyl Single"/>
    <x v="0"/>
  </r>
  <r>
    <x v="25"/>
    <s v="CD"/>
    <n v="847"/>
    <n v="21969.776834355998"/>
    <n v="21.969776834355901"/>
    <n v="25.938343369959799"/>
    <n v="21969.776834355998"/>
    <n v="847"/>
    <s v="Physical"/>
    <s v="CD"/>
    <x v="0"/>
  </r>
  <r>
    <x v="25"/>
    <s v="CD Single"/>
    <n v="56"/>
    <n v="410.29751411000001"/>
    <n v="0.41029751410999998"/>
    <n v="7.3267413233928496"/>
    <n v="410.29751411000001"/>
    <n v="56"/>
    <s v="Physical"/>
    <s v="CD Single"/>
    <x v="0"/>
  </r>
  <r>
    <x v="25"/>
    <s v="Cassette"/>
    <n v="158.5"/>
    <n v="2732.5583503070002"/>
    <n v="2.7325583503069999"/>
    <n v="17.240115774807499"/>
    <n v="2732.5583503070002"/>
    <n v="158.5"/>
    <s v="Physical"/>
    <s v="Cassette"/>
    <x v="0"/>
  </r>
  <r>
    <x v="25"/>
    <s v="Cassette Single"/>
    <n v="26.4"/>
    <n v="181.67019386499999"/>
    <n v="0.181670193865"/>
    <n v="6.8814467373105996"/>
    <n v="181.67019386499999"/>
    <n v="26.4"/>
    <s v="Physical"/>
    <s v="Cassette Single"/>
    <x v="0"/>
  </r>
  <r>
    <x v="25"/>
    <s v="LP/EP"/>
    <n v="3.4"/>
    <n v="65.432061349999998"/>
    <n v="6.5432061350000001E-2"/>
    <n v="19.244723926470499"/>
    <n v="65.432061349999998"/>
    <n v="3.4"/>
    <s v="Physical"/>
    <s v="LP/EP"/>
    <x v="0"/>
  </r>
  <r>
    <x v="25"/>
    <s v="Music Video (Physical)"/>
    <n v="27.2"/>
    <n v="977.63197546000004"/>
    <n v="0.97763197546000002"/>
    <n v="35.942352038970498"/>
    <n v="977.63197546000004"/>
    <n v="27.2"/>
    <s v="Physical"/>
    <s v="Music Video (Physical)"/>
    <x v="0"/>
  </r>
  <r>
    <x v="25"/>
    <s v="Vinyl Single"/>
    <n v="5.4"/>
    <n v="49.458940491"/>
    <n v="4.9458940490999997E-2"/>
    <n v="9.1590630538888806"/>
    <n v="49.458940491"/>
    <n v="5.4"/>
    <s v="Physical"/>
    <s v="Vinyl Single"/>
    <x v="0"/>
  </r>
  <r>
    <x v="26"/>
    <s v="CD"/>
    <n v="938.9"/>
    <n v="24131.646642856998"/>
    <n v="24.131646642857"/>
    <n v="25.7020413706007"/>
    <n v="24131.646642856998"/>
    <n v="938.9"/>
    <s v="Physical"/>
    <s v="CD"/>
    <x v="0"/>
  </r>
  <r>
    <x v="26"/>
    <s v="CD Single"/>
    <n v="55.9"/>
    <n v="418.754103241"/>
    <n v="0.41875410324099999"/>
    <n v="7.4911288594096597"/>
    <n v="418.754103241"/>
    <n v="55.9"/>
    <s v="Physical"/>
    <s v="CD Single"/>
    <x v="0"/>
  </r>
  <r>
    <x v="26"/>
    <s v="Cassette"/>
    <n v="123.6"/>
    <n v="1998.8730036009999"/>
    <n v="1.9988730036010001"/>
    <n v="16.1721116796197"/>
    <n v="1998.8730036009999"/>
    <n v="123.6"/>
    <s v="Physical"/>
    <s v="Cassette"/>
    <x v="0"/>
  </r>
  <r>
    <x v="26"/>
    <s v="Cassette Single"/>
    <n v="14.2"/>
    <n v="90.378583433000003"/>
    <n v="9.0378583432999995E-2"/>
    <n v="6.3646889741549302"/>
    <n v="90.378583433000003"/>
    <n v="14.2"/>
    <s v="Physical"/>
    <s v="Cassette Single"/>
    <x v="0"/>
  </r>
  <r>
    <x v="26"/>
    <s v="LP/EP"/>
    <n v="2.9"/>
    <n v="59.875811525000003"/>
    <n v="5.9875811525000003E-2"/>
    <n v="20.6468315603448"/>
    <n v="59.875811525000003"/>
    <n v="2.9"/>
    <s v="Physical"/>
    <s v="LP/EP"/>
    <x v="0"/>
  </r>
  <r>
    <x v="26"/>
    <s v="Music Video (Physical)"/>
    <n v="19.8"/>
    <n v="709.28359123600001"/>
    <n v="0.70928359123600004"/>
    <n v="35.822403597777701"/>
    <n v="709.28359123600001"/>
    <n v="19.8"/>
    <s v="Physical"/>
    <s v="Music Video (Physical)"/>
    <x v="0"/>
  </r>
  <r>
    <x v="26"/>
    <s v="Vinyl Single"/>
    <n v="5.3"/>
    <n v="52.532551621000003"/>
    <n v="5.2532551620999998E-2"/>
    <n v="9.9118021926415096"/>
    <n v="52.532551621000003"/>
    <n v="5.3"/>
    <s v="Physical"/>
    <s v="Vinyl Single"/>
    <x v="0"/>
  </r>
  <r>
    <x v="27"/>
    <s v="CD"/>
    <n v="942.5"/>
    <n v="24072.260688153001"/>
    <n v="24.072260688153001"/>
    <n v="25.540860146581402"/>
    <n v="24072.260688153001"/>
    <n v="942.5"/>
    <s v="Physical"/>
    <s v="CD"/>
    <x v="0"/>
  </r>
  <r>
    <x v="27"/>
    <s v="CD Single"/>
    <n v="34.200000000000003"/>
    <n v="259.95017595799999"/>
    <n v="0.25995017595800002"/>
    <n v="7.6008823379532098"/>
    <n v="259.95017595799999"/>
    <n v="34.200000000000003"/>
    <s v="Physical"/>
    <s v="CD Single"/>
    <x v="0"/>
  </r>
  <r>
    <x v="27"/>
    <s v="Cassette"/>
    <n v="76"/>
    <n v="1140.356062718"/>
    <n v="1.1403560627180001"/>
    <n v="15.004685035763099"/>
    <n v="1140.356062718"/>
    <n v="76"/>
    <s v="Physical"/>
    <s v="Cassette"/>
    <x v="0"/>
  </r>
  <r>
    <x v="27"/>
    <s v="Cassette Single"/>
    <n v="1.3"/>
    <n v="8.3796132399999994"/>
    <n v="8.3796132400000001E-3"/>
    <n v="6.4458563384615299"/>
    <n v="8.3796132399999994"/>
    <n v="1.3"/>
    <s v="Physical"/>
    <s v="Cassette Single"/>
    <x v="0"/>
  </r>
  <r>
    <x v="27"/>
    <s v="LP/EP"/>
    <n v="2.2000000000000002"/>
    <n v="50.459844947999997"/>
    <n v="5.0459844947999898E-2"/>
    <n v="22.936293158181801"/>
    <n v="50.459844947999997"/>
    <n v="2.2000000000000002"/>
    <s v="Physical"/>
    <s v="LP/EP"/>
    <x v="0"/>
  </r>
  <r>
    <x v="27"/>
    <s v="Music Video (Physical)"/>
    <n v="18.2"/>
    <n v="513.52455923299999"/>
    <n v="0.513524559233"/>
    <n v="28.215635122692301"/>
    <n v="513.52455923299999"/>
    <n v="18.2"/>
    <s v="Physical"/>
    <s v="Music Video (Physical)"/>
    <x v="0"/>
  </r>
  <r>
    <x v="27"/>
    <s v="Vinyl Single"/>
    <n v="4.8"/>
    <n v="47.909527875000002"/>
    <n v="4.7909527875000003E-2"/>
    <n v="9.9811516406250007"/>
    <n v="47.909527875000002"/>
    <n v="4.8"/>
    <s v="Physical"/>
    <s v="Vinyl Single"/>
    <x v="0"/>
  </r>
  <r>
    <x v="28"/>
    <s v="CD"/>
    <n v="881.9"/>
    <n v="22865.820308300001"/>
    <n v="22.865820308299998"/>
    <n v="25.927906007823999"/>
    <n v="22865.820308300001"/>
    <n v="881.9"/>
    <s v="Physical"/>
    <s v="CD"/>
    <x v="0"/>
  </r>
  <r>
    <x v="28"/>
    <s v="CD Single"/>
    <n v="17.3"/>
    <n v="140.637530209"/>
    <n v="0.14063753020899999"/>
    <n v="8.1293370063005703"/>
    <n v="140.637530209"/>
    <n v="17.3"/>
    <s v="Physical"/>
    <s v="CD Single"/>
    <x v="0"/>
  </r>
  <r>
    <x v="28"/>
    <s v="Cassette"/>
    <n v="45"/>
    <n v="643.67353246799996"/>
    <n v="0.64367353246799996"/>
    <n v="14.3038562770666"/>
    <n v="643.67353246799996"/>
    <n v="45"/>
    <s v="Physical"/>
    <s v="Cassette"/>
    <x v="0"/>
  </r>
  <r>
    <x v="28"/>
    <s v="Cassette Single"/>
    <n v="-1.5"/>
    <m/>
    <m/>
    <m/>
    <m/>
    <n v="-1.5"/>
    <s v="Physical"/>
    <s v="Cassette Single"/>
    <x v="0"/>
  </r>
  <r>
    <x v="28"/>
    <s v="DVD Audio"/>
    <n v="0.26300000000000001"/>
    <n v="10.627521174"/>
    <n v="1.0627521173999999E-2"/>
    <n v="40.408825756653897"/>
    <n v="10.627521174"/>
    <n v="0.26300000000000001"/>
    <s v="Physical"/>
    <s v="DVD Audio"/>
    <x v="0"/>
  </r>
  <r>
    <x v="28"/>
    <s v="LP/EP"/>
    <n v="2.2999999999999998"/>
    <n v="48.532346697000001"/>
    <n v="4.8532346697000003E-2"/>
    <n v="21.101020303043398"/>
    <n v="48.532346697000001"/>
    <n v="2.2999999999999998"/>
    <s v="Physical"/>
    <s v="LP/EP"/>
    <x v="0"/>
  </r>
  <r>
    <x v="28"/>
    <s v="Music Video (Physical)"/>
    <n v="17.7"/>
    <n v="583.09666177300005"/>
    <n v="0.58309666177300001"/>
    <n v="32.943314224463201"/>
    <n v="583.09666177300005"/>
    <n v="17.7"/>
    <s v="Physical"/>
    <s v="Music Video (Physical)"/>
    <x v="0"/>
  </r>
  <r>
    <x v="28"/>
    <s v="Vinyl Single"/>
    <n v="5.5"/>
    <n v="55.617360812999998"/>
    <n v="5.5617360812999998E-2"/>
    <n v="10.112247420545399"/>
    <n v="55.617360812999998"/>
    <n v="5.5"/>
    <s v="Physical"/>
    <s v="Vinyl Single"/>
    <x v="0"/>
  </r>
  <r>
    <x v="29"/>
    <s v="CD"/>
    <n v="803.3"/>
    <n v="21001.121094497001"/>
    <n v="21.001121094497002"/>
    <n v="26.143559186476999"/>
    <n v="21001.121094497001"/>
    <n v="803.3"/>
    <s v="Physical"/>
    <s v="CD"/>
    <x v="0"/>
  </r>
  <r>
    <x v="29"/>
    <s v="CD Single"/>
    <n v="4.5"/>
    <n v="34.176233463000003"/>
    <n v="3.4176233463E-2"/>
    <n v="7.5947185473333301"/>
    <n v="34.176233463000003"/>
    <n v="4.5"/>
    <s v="Physical"/>
    <s v="CD Single"/>
    <x v="0"/>
  </r>
  <r>
    <x v="29"/>
    <s v="Cassette"/>
    <n v="31.1"/>
    <n v="365.82519288499998"/>
    <n v="0.36582519288499998"/>
    <n v="11.762867938424399"/>
    <n v="365.82519288499998"/>
    <n v="31.1"/>
    <s v="Physical"/>
    <s v="Cassette"/>
    <x v="0"/>
  </r>
  <r>
    <x v="29"/>
    <s v="Cassette Single"/>
    <n v="-0.5"/>
    <m/>
    <m/>
    <m/>
    <m/>
    <n v="-0.5"/>
    <s v="Physical"/>
    <s v="Cassette Single"/>
    <x v="0"/>
  </r>
  <r>
    <x v="29"/>
    <s v="DVD Audio"/>
    <n v="0.43"/>
    <n v="14.821325737"/>
    <n v="1.4821325737000001E-2"/>
    <n v="34.468199388372"/>
    <n v="14.821325737"/>
    <n v="0.43"/>
    <s v="Physical"/>
    <s v="DVD Audio"/>
    <x v="0"/>
  </r>
  <r>
    <x v="29"/>
    <s v="LP/EP"/>
    <n v="1.7430000000000001"/>
    <n v="35.745550305999998"/>
    <n v="3.5745550305999997E-2"/>
    <n v="20.508060990246602"/>
    <n v="35.745550305999998"/>
    <n v="1.7430000000000001"/>
    <s v="Physical"/>
    <s v="LP/EP"/>
    <x v="0"/>
  </r>
  <r>
    <x v="29"/>
    <s v="Music Video (Physical)"/>
    <n v="14.7"/>
    <n v="502.87886381300001"/>
    <n v="0.50287886381299995"/>
    <n v="34.209446517891102"/>
    <n v="502.87886381300001"/>
    <n v="14.7"/>
    <s v="Physical"/>
    <s v="Music Video (Physical)"/>
    <x v="0"/>
  </r>
  <r>
    <x v="29"/>
    <s v="Vinyl Single"/>
    <n v="4.4000000000000004"/>
    <n v="43.417765981000002"/>
    <n v="4.3417765981000001E-2"/>
    <n v="9.8676740865909096"/>
    <n v="43.417765981000002"/>
    <n v="4.4000000000000004"/>
    <s v="Physical"/>
    <s v="Vinyl Single"/>
    <x v="0"/>
  </r>
  <r>
    <x v="30"/>
    <s v="CD"/>
    <n v="746"/>
    <n v="19150.202000542999"/>
    <n v="19.150202000543"/>
    <n v="25.670512065071001"/>
    <n v="19150.202000542999"/>
    <n v="746"/>
    <s v="Physical"/>
    <s v="CD"/>
    <x v="0"/>
  </r>
  <r>
    <x v="30"/>
    <s v="CD Single"/>
    <n v="8.3000000000000007"/>
    <n v="61.373934783000003"/>
    <n v="6.1373934783000003E-2"/>
    <n v="7.3944499738554201"/>
    <n v="61.373934783000003"/>
    <n v="8.3000000000000007"/>
    <s v="Physical"/>
    <s v="CD Single"/>
    <x v="0"/>
  </r>
  <r>
    <x v="30"/>
    <s v="Cassette"/>
    <n v="17.2"/>
    <n v="184.29228749999999"/>
    <n v="0.18429228749999901"/>
    <n v="10.7146678779069"/>
    <n v="184.29228749999999"/>
    <n v="17.2"/>
    <s v="Physical"/>
    <s v="Cassette"/>
    <x v="0"/>
  </r>
  <r>
    <x v="30"/>
    <s v="DVD Audio"/>
    <n v="0.4"/>
    <n v="13.638652174000001"/>
    <n v="1.3638652174E-2"/>
    <n v="34.096630435000002"/>
    <n v="13.638652174000001"/>
    <n v="0.4"/>
    <s v="Physical"/>
    <s v="DVD Audio"/>
    <x v="0"/>
  </r>
  <r>
    <x v="30"/>
    <s v="LP/EP"/>
    <n v="1.5"/>
    <n v="36.994844022000002"/>
    <n v="3.6994844021999998E-2"/>
    <n v="24.663229348000002"/>
    <n v="36.994844022000002"/>
    <n v="1.5"/>
    <s v="Physical"/>
    <s v="LP/EP"/>
    <x v="0"/>
  </r>
  <r>
    <x v="30"/>
    <s v="Music Video (Physical)"/>
    <n v="19.899999999999999"/>
    <n v="681.76212554300002"/>
    <n v="0.68176212554299997"/>
    <n v="34.259403293618"/>
    <n v="681.76212554300002"/>
    <n v="19.899999999999999"/>
    <s v="Physical"/>
    <s v="Music Video (Physical)"/>
    <x v="0"/>
  </r>
  <r>
    <x v="30"/>
    <s v="SACD"/>
    <n v="1.3"/>
    <n v="44.837069022000001"/>
    <n v="4.4837069021999999E-2"/>
    <n v="34.4900530938461"/>
    <n v="44.837069022000001"/>
    <n v="1.3"/>
    <s v="Physical"/>
    <s v="SACD"/>
    <x v="0"/>
  </r>
  <r>
    <x v="30"/>
    <s v="Vinyl Single"/>
    <n v="3.8"/>
    <n v="36.653877717"/>
    <n v="3.6653877717000002E-2"/>
    <n v="9.6457572939473692"/>
    <n v="36.653877717"/>
    <n v="3.8"/>
    <s v="Physical"/>
    <s v="Vinyl Single"/>
    <x v="0"/>
  </r>
  <r>
    <x v="31"/>
    <s v="CD"/>
    <n v="767"/>
    <n v="19008.158488617999"/>
    <n v="19.008158488618001"/>
    <n v="24.782475213322002"/>
    <n v="19008.158488617999"/>
    <n v="767"/>
    <s v="Physical"/>
    <s v="CD"/>
    <x v="0"/>
  </r>
  <r>
    <x v="31"/>
    <s v="CD Single"/>
    <n v="3.1"/>
    <n v="24.909131815999999"/>
    <n v="2.4909131815999901E-2"/>
    <n v="8.0352038116129005"/>
    <n v="24.909131815999999"/>
    <n v="3.1"/>
    <s v="Physical"/>
    <s v="CD Single"/>
    <x v="0"/>
  </r>
  <r>
    <x v="31"/>
    <s v="Cassette"/>
    <n v="5.2"/>
    <n v="39.356428268999998"/>
    <n v="3.9356428269000002E-2"/>
    <n v="7.5685438978846102"/>
    <n v="39.356428268999998"/>
    <n v="5.2"/>
    <s v="Physical"/>
    <s v="Cassette"/>
    <x v="0"/>
  </r>
  <r>
    <x v="31"/>
    <s v="DVD Audio"/>
    <n v="0.3"/>
    <n v="10.79395712"/>
    <n v="1.0793957119999999E-2"/>
    <n v="35.979857066666597"/>
    <n v="10.79395712"/>
    <n v="0.3"/>
    <s v="Physical"/>
    <s v="DVD Audio"/>
    <x v="0"/>
  </r>
  <r>
    <x v="31"/>
    <s v="Download Album"/>
    <n v="4.5999999999999996"/>
    <n v="75.557699841000002"/>
    <n v="7.5557699840999998E-2"/>
    <n v="16.425586921956501"/>
    <n v="75.557699841000002"/>
    <n v="4.5999999999999996"/>
    <s v="Other"/>
    <s v="Download Album"/>
    <x v="0"/>
  </r>
  <r>
    <x v="31"/>
    <s v="Download Single"/>
    <n v="139.4"/>
    <n v="229.164012705"/>
    <n v="0.229164012705"/>
    <n v="1.6439312245695801"/>
    <n v="229.164012705"/>
    <n v="139.4"/>
    <s v="Other"/>
    <s v="Download Single"/>
    <x v="0"/>
  </r>
  <r>
    <x v="31"/>
    <s v="LP/EP"/>
    <n v="1.4"/>
    <n v="32.049749603000002"/>
    <n v="3.2049749603E-2"/>
    <n v="22.892678287857098"/>
    <n v="32.049749603000002"/>
    <n v="1.4"/>
    <s v="Physical"/>
    <s v="LP/EP"/>
    <x v="0"/>
  </r>
  <r>
    <x v="31"/>
    <s v="Music Video (Physical)"/>
    <n v="32.799999999999997"/>
    <n v="1008.321655903"/>
    <n v="1.0083216559029999"/>
    <n v="30.741513899481699"/>
    <n v="1008.321655903"/>
    <n v="32.799999999999997"/>
    <s v="Physical"/>
    <s v="Music Video (Physical)"/>
    <x v="0"/>
  </r>
  <r>
    <x v="31"/>
    <s v="SACD"/>
    <n v="0.8"/>
    <n v="27.566105876000002"/>
    <n v="2.7566105875999999E-2"/>
    <n v="34.457632345"/>
    <n v="27.566105876000002"/>
    <n v="0.8"/>
    <s v="Physical"/>
    <s v="SACD"/>
    <x v="0"/>
  </r>
  <r>
    <x v="31"/>
    <s v="SoundExchange Distributions"/>
    <m/>
    <n v="11.458200635000001"/>
    <n v="1.1458200635E-2"/>
    <m/>
    <n v="11.458200635000001"/>
    <m/>
    <s v="Other"/>
    <s v="SoundExchange Distributions"/>
    <x v="0"/>
  </r>
  <r>
    <x v="31"/>
    <s v="Vinyl Single"/>
    <n v="3.5"/>
    <n v="33.046114875999997"/>
    <n v="3.3046114875999899E-2"/>
    <n v="9.4417471074285704"/>
    <n v="33.046114875999997"/>
    <n v="3.5"/>
    <s v="Physical"/>
    <s v="Vinyl Single"/>
    <x v="0"/>
  </r>
  <r>
    <x v="32"/>
    <s v="CD"/>
    <n v="705.4"/>
    <n v="16897.445047619"/>
    <n v="16.897445047619001"/>
    <n v="23.954416001728099"/>
    <n v="16897.445047619"/>
    <n v="705.4"/>
    <s v="Physical"/>
    <s v="CD"/>
    <x v="0"/>
  </r>
  <r>
    <x v="32"/>
    <s v="CD Single"/>
    <n v="2.8"/>
    <n v="17.507476189999998"/>
    <n v="1.7507476189999999E-2"/>
    <n v="6.2526700678571396"/>
    <n v="17.507476189999998"/>
    <n v="2.8"/>
    <s v="Physical"/>
    <s v="CD Single"/>
    <x v="0"/>
  </r>
  <r>
    <x v="32"/>
    <s v="Cassette"/>
    <n v="2.5"/>
    <n v="21.041095238"/>
    <n v="2.1041095238000001E-2"/>
    <n v="8.4164380952000002"/>
    <n v="21.041095238"/>
    <n v="2.5"/>
    <s v="Physical"/>
    <s v="Cassette"/>
    <x v="0"/>
  </r>
  <r>
    <x v="32"/>
    <s v="DVD Audio"/>
    <n v="0.5"/>
    <n v="17.989333333000001"/>
    <n v="1.7989333332999999E-2"/>
    <n v="35.978666666000002"/>
    <n v="17.989333333000001"/>
    <n v="0.5"/>
    <s v="Physical"/>
    <s v="DVD Audio"/>
    <x v="0"/>
  </r>
  <r>
    <x v="32"/>
    <s v="Download Album"/>
    <n v="13.6"/>
    <n v="217.96004761899999"/>
    <n v="0.21796004761900001"/>
    <n v="16.026474089632298"/>
    <n v="217.96004761899999"/>
    <n v="13.6"/>
    <s v="Other"/>
    <s v="Download Album"/>
    <x v="0"/>
  </r>
  <r>
    <x v="32"/>
    <s v="Download Music Video"/>
    <n v="1.9"/>
    <n v="5.9429047620000004"/>
    <n v="5.9429047620000001E-3"/>
    <n v="3.12784461157894"/>
    <n v="5.9429047620000004"/>
    <n v="1.9"/>
    <s v="Other"/>
    <s v="Download Music Video"/>
    <x v="0"/>
  </r>
  <r>
    <x v="32"/>
    <s v="Download Single"/>
    <n v="366.9"/>
    <n v="583.529"/>
    <n v="0.58352899999999996"/>
    <n v="1.59043063505042"/>
    <n v="583.529"/>
    <n v="366.9"/>
    <s v="Other"/>
    <s v="Download Single"/>
    <x v="0"/>
  </r>
  <r>
    <x v="32"/>
    <s v="Kiosk"/>
    <n v="0.7"/>
    <n v="1.6061904760000001"/>
    <n v="1.606190476E-3"/>
    <n v="2.2945578228571399"/>
    <n v="1.6061904760000001"/>
    <n v="0.7"/>
    <s v="Other"/>
    <s v="Kiosk"/>
    <x v="0"/>
  </r>
  <r>
    <x v="32"/>
    <s v="LP/EP"/>
    <n v="1"/>
    <n v="22.807904762"/>
    <n v="2.2807904762000002E-2"/>
    <n v="22.807904762"/>
    <n v="22.807904762"/>
    <n v="1"/>
    <s v="Physical"/>
    <s v="LP/EP"/>
    <x v="0"/>
  </r>
  <r>
    <x v="32"/>
    <s v="Music Video (Physical)"/>
    <n v="33.799999999999997"/>
    <n v="967.24790476199996"/>
    <n v="0.96724790476199995"/>
    <n v="28.616801916035499"/>
    <n v="967.24790476199996"/>
    <n v="33.799999999999997"/>
    <s v="Physical"/>
    <s v="Music Video (Physical)"/>
    <x v="0"/>
  </r>
  <r>
    <x v="32"/>
    <s v="Paid Subscription"/>
    <m/>
    <n v="239.64361904800001"/>
    <n v="0.239643619048"/>
    <m/>
    <n v="239.64361904800001"/>
    <m/>
    <s v="Streaming"/>
    <s v="Streaming"/>
    <x v="1"/>
  </r>
  <r>
    <x v="32"/>
    <s v="Ringtones &amp; Ringbacks"/>
    <n v="170"/>
    <n v="677.16990476199999"/>
    <n v="0.67716990476200001"/>
    <n v="3.9833523809529399"/>
    <n v="677.16990476199999"/>
    <n v="170"/>
    <s v="Other"/>
    <s v="Ringtones &amp; Ringbacks"/>
    <x v="0"/>
  </r>
  <r>
    <x v="32"/>
    <s v="SACD"/>
    <n v="0.5"/>
    <n v="16.061904762000001"/>
    <n v="1.6061904762E-2"/>
    <n v="32.123809524000002"/>
    <n v="16.061904762000001"/>
    <n v="0.5"/>
    <s v="Physical"/>
    <s v="SACD"/>
    <x v="0"/>
  </r>
  <r>
    <x v="32"/>
    <s v="SoundExchange Distributions"/>
    <m/>
    <n v="32.766285713999999"/>
    <n v="3.2766285713999997E-2"/>
    <m/>
    <n v="32.766285713999999"/>
    <m/>
    <s v="Other"/>
    <s v="SoundExchange Distributions"/>
    <x v="0"/>
  </r>
  <r>
    <x v="32"/>
    <s v="Vinyl Single"/>
    <n v="2.2999999999999998"/>
    <n v="21.201714286000001"/>
    <n v="2.1201714286000001E-2"/>
    <n v="9.2181366460869505"/>
    <n v="21.201714286000001"/>
    <n v="2.2999999999999998"/>
    <s v="Physical"/>
    <s v="Vinyl Single"/>
    <x v="0"/>
  </r>
  <r>
    <x v="33"/>
    <s v="CD"/>
    <n v="619.70000000000005"/>
    <n v="14583.737705357"/>
    <n v="14.583737705357001"/>
    <n v="23.533544788376599"/>
    <n v="14583.737705357"/>
    <n v="619.70000000000005"/>
    <s v="Physical"/>
    <s v="CD"/>
    <x v="0"/>
  </r>
  <r>
    <x v="33"/>
    <s v="CD Single"/>
    <n v="1.7"/>
    <n v="11.981177083"/>
    <n v="1.1981177083E-2"/>
    <n v="7.0477512252941104"/>
    <n v="11.981177083"/>
    <n v="1.7"/>
    <s v="Physical"/>
    <s v="CD Single"/>
    <x v="0"/>
  </r>
  <r>
    <x v="33"/>
    <s v="Cassette"/>
    <n v="0.7"/>
    <n v="5.7571889880000002"/>
    <n v="5.7571889880000003E-3"/>
    <n v="8.2245556971428506"/>
    <n v="5.7571889880000002"/>
    <n v="0.7"/>
    <s v="Physical"/>
    <s v="Cassette"/>
    <x v="0"/>
  </r>
  <r>
    <x v="33"/>
    <s v="DVD Audio"/>
    <n v="0.1"/>
    <n v="3.734392857"/>
    <n v="3.7343928570000001E-3"/>
    <n v="37.343928569999903"/>
    <n v="3.734392857"/>
    <n v="0.1"/>
    <s v="Physical"/>
    <s v="DVD Audio"/>
    <x v="0"/>
  </r>
  <r>
    <x v="33"/>
    <s v="Download Album"/>
    <n v="27.6"/>
    <n v="429.29957886900002"/>
    <n v="0.429299578869"/>
    <n v="15.554332567717299"/>
    <n v="429.29957886900002"/>
    <n v="27.6"/>
    <s v="Other"/>
    <s v="Download Album"/>
    <x v="0"/>
  </r>
  <r>
    <x v="33"/>
    <s v="Download Music Video"/>
    <n v="9.9"/>
    <n v="30.653141369"/>
    <n v="3.0653141368999999E-2"/>
    <n v="3.09627690595959"/>
    <n v="30.653141369"/>
    <n v="9.9"/>
    <s v="Other"/>
    <s v="Download Music Video"/>
    <x v="0"/>
  </r>
  <r>
    <x v="33"/>
    <s v="Download Single"/>
    <n v="586.4"/>
    <n v="903.41187202399999"/>
    <n v="0.90341187202399997"/>
    <n v="1.54060687589358"/>
    <n v="903.41187202399999"/>
    <n v="586.4"/>
    <s v="Other"/>
    <s v="Download Single"/>
    <x v="0"/>
  </r>
  <r>
    <x v="33"/>
    <s v="Kiosk"/>
    <n v="1.4"/>
    <n v="2.9563943450000001"/>
    <n v="2.9563943450000001E-3"/>
    <n v="2.11171024642857"/>
    <n v="2.9563943450000001"/>
    <n v="1.4"/>
    <s v="Other"/>
    <s v="Kiosk"/>
    <x v="0"/>
  </r>
  <r>
    <x v="33"/>
    <s v="LP/EP"/>
    <n v="0.9"/>
    <n v="24.429153274000001"/>
    <n v="2.4429153273999998E-2"/>
    <n v="27.143503637777702"/>
    <n v="24.429153274000001"/>
    <n v="0.9"/>
    <s v="Physical"/>
    <s v="LP/EP"/>
    <x v="0"/>
  </r>
  <r>
    <x v="33"/>
    <s v="Music Video (Physical)"/>
    <n v="23.2"/>
    <n v="701.91025744000001"/>
    <n v="0.70191025744000002"/>
    <n v="30.254752475861999"/>
    <n v="701.91025744000001"/>
    <n v="23.2"/>
    <s v="Physical"/>
    <s v="Music Video (Physical)"/>
    <x v="0"/>
  </r>
  <r>
    <x v="33"/>
    <s v="Paid Subscription"/>
    <m/>
    <n v="320.84658631000002"/>
    <n v="0.32084658631000001"/>
    <m/>
    <n v="320.84658631000002"/>
    <m/>
    <s v="Streaming"/>
    <s v="Streaming"/>
    <x v="1"/>
  </r>
  <r>
    <x v="33"/>
    <s v="Ringtones &amp; Ringbacks"/>
    <n v="315"/>
    <n v="1204.0304970239999"/>
    <n v="1.2040304970239999"/>
    <n v="3.82231903817142"/>
    <n v="1204.0304970239999"/>
    <n v="315"/>
    <s v="Other"/>
    <s v="Ringtones &amp; Ringbacks"/>
    <x v="0"/>
  </r>
  <r>
    <x v="33"/>
    <s v="SACD"/>
    <n v="0.3"/>
    <n v="8.5579836310000008"/>
    <n v="8.5579836310000004E-3"/>
    <n v="28.526612103333299"/>
    <n v="8.5579836310000008"/>
    <n v="0.3"/>
    <s v="Physical"/>
    <s v="SACD"/>
    <x v="0"/>
  </r>
  <r>
    <x v="33"/>
    <s v="SoundExchange Distributions"/>
    <m/>
    <n v="51.036702380999998"/>
    <n v="5.1036702380999999E-2"/>
    <m/>
    <n v="51.036702380999998"/>
    <m/>
    <s v="Other"/>
    <s v="SoundExchange Distributions"/>
    <x v="0"/>
  </r>
  <r>
    <x v="33"/>
    <s v="Vinyl Single"/>
    <n v="1.5"/>
    <n v="15.404370536"/>
    <n v="1.5404370536E-2"/>
    <n v="10.2695803573333"/>
    <n v="15.404370536"/>
    <n v="1.5"/>
    <s v="Physical"/>
    <s v="Vinyl Single"/>
    <x v="0"/>
  </r>
  <r>
    <x v="34"/>
    <s v="CD"/>
    <n v="499.7"/>
    <n v="11274.63097057"/>
    <n v="11.27463097057"/>
    <n v="22.5627996209125"/>
    <n v="11274.63097057"/>
    <n v="499.7"/>
    <s v="Physical"/>
    <s v="CD"/>
    <x v="0"/>
  </r>
  <r>
    <x v="34"/>
    <s v="CD Single"/>
    <n v="2.6"/>
    <n v="18.457455798000002"/>
    <n v="1.8457455798E-2"/>
    <n v="7.0990214607692304"/>
    <n v="18.457455798000002"/>
    <n v="2.6"/>
    <s v="Physical"/>
    <s v="CD Single"/>
    <x v="0"/>
  </r>
  <r>
    <x v="34"/>
    <s v="Cassette"/>
    <n v="0.4"/>
    <n v="4.5387186389999998"/>
    <n v="4.5387186390000002E-3"/>
    <n v="11.346796597499999"/>
    <n v="4.5387186389999998"/>
    <n v="0.4"/>
    <s v="Physical"/>
    <s v="Cassette"/>
    <x v="0"/>
  </r>
  <r>
    <x v="34"/>
    <s v="DVD Audio"/>
    <n v="0.2"/>
    <n v="4.2361373960000002"/>
    <n v="4.2361373960000002E-3"/>
    <n v="21.180686980000001"/>
    <n v="4.2361373960000002"/>
    <n v="0.2"/>
    <s v="Physical"/>
    <s v="DVD Audio"/>
    <x v="0"/>
  </r>
  <r>
    <x v="34"/>
    <s v="Download Album"/>
    <n v="49.8"/>
    <n v="752.51955030800002"/>
    <n v="0.752519550308"/>
    <n v="15.110834343534099"/>
    <n v="752.51955030800002"/>
    <n v="49.8"/>
    <s v="Other"/>
    <s v="Download Album"/>
    <x v="0"/>
  </r>
  <r>
    <x v="34"/>
    <s v="Download Music Video"/>
    <n v="14.2"/>
    <n v="42.663955203999997"/>
    <n v="4.2663955204000001E-2"/>
    <n v="3.00450388760563"/>
    <n v="42.663955203999997"/>
    <n v="14.2"/>
    <s v="Other"/>
    <s v="Download Music Video"/>
    <x v="0"/>
  </r>
  <r>
    <x v="34"/>
    <s v="Download Single"/>
    <n v="819.4"/>
    <n v="1226.9669386810001"/>
    <n v="1.226966938681"/>
    <n v="1.49739680092872"/>
    <n v="1226.9669386810001"/>
    <n v="819.4"/>
    <s v="Other"/>
    <s v="Download Single"/>
    <x v="0"/>
  </r>
  <r>
    <x v="34"/>
    <s v="Kiosk"/>
    <n v="1.8"/>
    <n v="3.9335561540000001"/>
    <n v="3.9335561539999998E-3"/>
    <n v="2.1853089744444398"/>
    <n v="3.9335561540000001"/>
    <n v="1.8"/>
    <s v="Other"/>
    <s v="Kiosk"/>
    <x v="0"/>
  </r>
  <r>
    <x v="34"/>
    <s v="LP/EP"/>
    <n v="1.3"/>
    <n v="34.645552275999997"/>
    <n v="3.4645552275999997E-2"/>
    <n v="26.650424827692301"/>
    <n v="34.645552275999997"/>
    <n v="1.3"/>
    <s v="Physical"/>
    <s v="LP/EP"/>
    <x v="0"/>
  </r>
  <r>
    <x v="34"/>
    <s v="Music Video (Physical)"/>
    <n v="27.5"/>
    <n v="733.60822264700005"/>
    <n v="0.73360822264699999"/>
    <n v="26.676662641709001"/>
    <n v="733.60822264700005"/>
    <n v="27.5"/>
    <s v="Physical"/>
    <s v="Music Video (Physical)"/>
    <x v="0"/>
  </r>
  <r>
    <x v="34"/>
    <s v="Paid Subscription"/>
    <m/>
    <n v="354.020053824"/>
    <n v="0.35402005382399998"/>
    <m/>
    <n v="354.020053824"/>
    <m/>
    <s v="Streaming"/>
    <s v="Streaming"/>
    <x v="1"/>
  </r>
  <r>
    <x v="34"/>
    <s v="Ringtones &amp; Ringbacks"/>
    <n v="433.8"/>
    <n v="1597.3263796050001"/>
    <n v="1.5973263796049999"/>
    <n v="3.68217238267634"/>
    <n v="1597.3263796050001"/>
    <n v="433.8"/>
    <s v="Other"/>
    <s v="Ringtones &amp; Ringbacks"/>
    <x v="0"/>
  </r>
  <r>
    <x v="34"/>
    <s v="SACD"/>
    <n v="0.2"/>
    <n v="5.4464623669999996"/>
    <n v="5.4464623669999998E-3"/>
    <n v="27.232311834999901"/>
    <n v="5.4464623669999996"/>
    <n v="0.2"/>
    <s v="Physical"/>
    <s v="SACD"/>
    <x v="0"/>
  </r>
  <r>
    <x v="34"/>
    <s v="SoundExchange Distributions"/>
    <m/>
    <n v="54.767204907999997"/>
    <n v="5.4767204907999897E-2"/>
    <m/>
    <n v="54.767204907999997"/>
    <m/>
    <s v="Other"/>
    <s v="SoundExchange Distributions"/>
    <x v="0"/>
  </r>
  <r>
    <x v="34"/>
    <s v="Vinyl Single"/>
    <n v="0.6"/>
    <n v="6.0516248519999998"/>
    <n v="6.0516248520000003E-3"/>
    <n v="10.086041420000001"/>
    <n v="6.0516248519999998"/>
    <n v="0.6"/>
    <s v="Physical"/>
    <s v="Vinyl Single"/>
    <x v="0"/>
  </r>
  <r>
    <x v="35"/>
    <s v="CD"/>
    <n v="368.4"/>
    <n v="7971.4942462480003"/>
    <n v="7.9714942462479996"/>
    <n v="21.638149419782799"/>
    <n v="7971.4942462480003"/>
    <n v="368.4"/>
    <s v="Physical"/>
    <s v="CD"/>
    <x v="0"/>
  </r>
  <r>
    <x v="35"/>
    <s v="CD Single"/>
    <n v="0.7"/>
    <n v="5.09937855"/>
    <n v="5.0993785500000003E-3"/>
    <n v="7.2848265000000003"/>
    <n v="5.09937855"/>
    <n v="0.7"/>
    <s v="Physical"/>
    <s v="CD Single"/>
    <x v="0"/>
  </r>
  <r>
    <x v="35"/>
    <s v="Cassette"/>
    <n v="0.1"/>
    <n v="1.3112687700000001"/>
    <n v="1.3112687699999999E-3"/>
    <n v="13.1126877"/>
    <n v="1.3112687700000001"/>
    <n v="0.1"/>
    <s v="Physical"/>
    <s v="Cassette"/>
    <x v="0"/>
  </r>
  <r>
    <x v="35"/>
    <s v="DVD Audio"/>
    <n v="0.04"/>
    <n v="1.7483583599999999"/>
    <n v="1.7483583599999901E-3"/>
    <n v="43.708958999999901"/>
    <n v="1.7483583599999999"/>
    <n v="0.04"/>
    <s v="Physical"/>
    <s v="DVD Audio"/>
    <x v="0"/>
  </r>
  <r>
    <x v="35"/>
    <s v="Download Album"/>
    <n v="63.6"/>
    <n v="925.61005513199996"/>
    <n v="0.92561005513200001"/>
    <n v="14.5536172190566"/>
    <n v="925.61005513199996"/>
    <n v="63.6"/>
    <s v="Other"/>
    <s v="Download Album"/>
    <x v="0"/>
  </r>
  <r>
    <x v="35"/>
    <s v="Download Music Video"/>
    <n v="20.8"/>
    <n v="60.172666892999999"/>
    <n v="6.0172666893E-2"/>
    <n v="2.8929166775480701"/>
    <n v="60.172666892999999"/>
    <n v="20.8"/>
    <s v="Other"/>
    <s v="Download Music Video"/>
    <x v="0"/>
  </r>
  <r>
    <x v="35"/>
    <s v="Download Single"/>
    <n v="1042.7"/>
    <n v="1503.8795827280001"/>
    <n v="1.503879582728"/>
    <n v="1.4422936441239"/>
    <n v="1503.8795827280001"/>
    <n v="1042.7"/>
    <s v="Other"/>
    <s v="Download Single"/>
    <x v="0"/>
  </r>
  <r>
    <x v="35"/>
    <s v="Kiosk"/>
    <n v="1.6"/>
    <n v="3.7881097800000001"/>
    <n v="3.7881097799999999E-3"/>
    <n v="2.3675686124999999"/>
    <n v="3.7881097800000001"/>
    <n v="1.6"/>
    <s v="Other"/>
    <s v="Kiosk"/>
    <x v="0"/>
  </r>
  <r>
    <x v="35"/>
    <s v="LP/EP"/>
    <n v="2.9"/>
    <n v="82.609932513999993"/>
    <n v="8.2609932513999895E-2"/>
    <n v="28.486183625517199"/>
    <n v="82.609932513999993"/>
    <n v="2.9"/>
    <s v="Physical"/>
    <s v="LP/EP"/>
    <x v="0"/>
  </r>
  <r>
    <x v="35"/>
    <s v="Music Video (Physical)"/>
    <n v="13.2"/>
    <n v="331.16821270499997"/>
    <n v="0.33116821270499902"/>
    <n v="25.0885009625"/>
    <n v="331.16821270499997"/>
    <n v="13.2"/>
    <s v="Physical"/>
    <s v="Music Video (Physical)"/>
    <x v="0"/>
  </r>
  <r>
    <x v="35"/>
    <s v="Paid Subscription"/>
    <m/>
    <n v="322.57211743400001"/>
    <n v="0.32257211743399999"/>
    <m/>
    <n v="322.57211743400001"/>
    <m/>
    <s v="Streaming"/>
    <s v="Streaming"/>
    <x v="1"/>
  </r>
  <r>
    <x v="35"/>
    <s v="Ringtones &amp; Ringbacks"/>
    <n v="405.1"/>
    <n v="1423.6007946939999"/>
    <n v="1.4236007946939999"/>
    <n v="3.5141959878894"/>
    <n v="1423.6007946939999"/>
    <n v="405.1"/>
    <s v="Other"/>
    <s v="Ringtones &amp; Ringbacks"/>
    <x v="0"/>
  </r>
  <r>
    <x v="35"/>
    <s v="SACD"/>
    <n v="0.1"/>
    <n v="4.5165924300000002"/>
    <n v="4.5165924299999998E-3"/>
    <n v="45.1659243"/>
    <n v="4.5165924300000002"/>
    <n v="0.1"/>
    <s v="Physical"/>
    <s v="SACD"/>
    <x v="0"/>
  </r>
  <r>
    <x v="35"/>
    <s v="SoundExchange Distributions"/>
    <m/>
    <n v="145.69653000700001"/>
    <n v="0.145696530007"/>
    <m/>
    <n v="145.69653000700001"/>
    <m/>
    <s v="Other"/>
    <s v="SoundExchange Distributions"/>
    <x v="0"/>
  </r>
  <r>
    <x v="35"/>
    <s v="Vinyl Single"/>
    <n v="0.4"/>
    <n v="4.2251993700000003"/>
    <n v="4.2251993700000001E-3"/>
    <n v="10.562998425"/>
    <n v="4.2251993700000003"/>
    <n v="0.4"/>
    <s v="Physical"/>
    <s v="Vinyl Single"/>
    <x v="0"/>
  </r>
  <r>
    <x v="36"/>
    <s v="CD"/>
    <n v="296.60000000000002"/>
    <n v="6314.8084162639998"/>
    <n v="6.3148084162640004"/>
    <n v="21.290655483020899"/>
    <n v="6314.8084162639998"/>
    <n v="296.60000000000002"/>
    <s v="Physical"/>
    <s v="CD"/>
    <x v="0"/>
  </r>
  <r>
    <x v="36"/>
    <s v="CD Single"/>
    <n v="0.9"/>
    <n v="4.5327188319999996"/>
    <n v="4.532718832E-3"/>
    <n v="5.03635425777777"/>
    <n v="4.5327188319999996"/>
    <n v="0.9"/>
    <s v="Physical"/>
    <s v="CD Single"/>
    <x v="0"/>
  </r>
  <r>
    <x v="36"/>
    <s v="DVD Audio"/>
    <n v="0.1"/>
    <n v="2.339467784"/>
    <n v="2.3394677839999999E-3"/>
    <n v="23.39467784"/>
    <n v="2.339467784"/>
    <n v="0.1"/>
    <s v="Physical"/>
    <s v="DVD Audio"/>
    <x v="0"/>
  </r>
  <r>
    <x v="36"/>
    <s v="Download Album"/>
    <n v="74.5"/>
    <n v="1088.291169822"/>
    <n v="1.0882911698219999"/>
    <n v="14.607935165395901"/>
    <n v="1088.291169822"/>
    <n v="74.5"/>
    <s v="Other"/>
    <s v="Download Album"/>
    <x v="0"/>
  </r>
  <r>
    <x v="36"/>
    <s v="Download Music Video"/>
    <n v="20.5"/>
    <n v="59.802645231"/>
    <n v="5.9802645230999998E-2"/>
    <n v="2.9172022063902401"/>
    <n v="59.802645231"/>
    <n v="20.5"/>
    <s v="Other"/>
    <s v="Download Music Video"/>
    <x v="0"/>
  </r>
  <r>
    <x v="36"/>
    <s v="Download Single"/>
    <n v="1124.4000000000001"/>
    <n v="1713.660151862"/>
    <n v="1.713660151862"/>
    <n v="1.5240663036837401"/>
    <n v="1713.660151862"/>
    <n v="1124.4000000000001"/>
    <s v="Other"/>
    <s v="Download Single"/>
    <x v="0"/>
  </r>
  <r>
    <x v="36"/>
    <s v="Kiosk"/>
    <n v="1.7"/>
    <n v="9.2116544000000005"/>
    <n v="9.2116543999999998E-3"/>
    <n v="5.4186202352941102"/>
    <n v="9.2116544000000005"/>
    <n v="1.7"/>
    <s v="Other"/>
    <s v="Kiosk"/>
    <x v="0"/>
  </r>
  <r>
    <x v="36"/>
    <s v="LP/EP"/>
    <n v="3.5"/>
    <n v="93.286277890999997"/>
    <n v="9.3286277890999997E-2"/>
    <n v="26.6532222545714"/>
    <n v="93.286277890999997"/>
    <n v="3.5"/>
    <s v="Physical"/>
    <s v="LP/EP"/>
    <x v="0"/>
  </r>
  <r>
    <x v="36"/>
    <s v="Music Video (Physical)"/>
    <n v="11.6"/>
    <n v="306.47027971900002"/>
    <n v="0.30647027971899998"/>
    <n v="26.4198516999137"/>
    <n v="306.47027971900002"/>
    <n v="11.6"/>
    <s v="Physical"/>
    <s v="Music Video (Physical)"/>
    <x v="0"/>
  </r>
  <r>
    <x v="36"/>
    <s v="Paid Subscription"/>
    <m/>
    <n v="301.49891067700003"/>
    <n v="0.30149891067700002"/>
    <m/>
    <n v="301.49891067700003"/>
    <m/>
    <s v="Streaming"/>
    <s v="Streaming"/>
    <x v="1"/>
  </r>
  <r>
    <x v="36"/>
    <s v="Ringtones &amp; Ringbacks"/>
    <n v="294.3"/>
    <n v="1027.611224171"/>
    <n v="1.027611224171"/>
    <n v="3.4917132999354399"/>
    <n v="1027.611224171"/>
    <n v="294.3"/>
    <s v="Other"/>
    <s v="Ringtones &amp; Ringbacks"/>
    <x v="0"/>
  </r>
  <r>
    <x v="36"/>
    <s v="SACD"/>
    <n v="0.1"/>
    <n v="3.509201676"/>
    <n v="3.5092016759999999E-3"/>
    <n v="35.09201676"/>
    <n v="3.509201676"/>
    <n v="0.1"/>
    <s v="Physical"/>
    <s v="SACD"/>
    <x v="0"/>
  </r>
  <r>
    <x v="36"/>
    <s v="SoundExchange Distributions"/>
    <m/>
    <n v="227.36702526799999"/>
    <n v="0.22736702526799901"/>
    <m/>
    <n v="227.36702526799999"/>
    <m/>
    <s v="Other"/>
    <s v="SoundExchange Distributions"/>
    <x v="0"/>
  </r>
  <r>
    <x v="36"/>
    <s v="Synchronization"/>
    <m/>
    <n v="294.188073852"/>
    <n v="0.29418807385200002"/>
    <m/>
    <n v="294.188073852"/>
    <m/>
    <s v="Other"/>
    <s v="Synchronization"/>
    <x v="0"/>
  </r>
  <r>
    <x v="36"/>
    <s v="Vinyl Single"/>
    <n v="0.3"/>
    <n v="3.655418413"/>
    <n v="3.6554184130000002E-3"/>
    <n v="12.184728043333299"/>
    <n v="3.655418413"/>
    <n v="0.3"/>
    <s v="Physical"/>
    <s v="Vinyl Single"/>
    <x v="0"/>
  </r>
  <r>
    <x v="37"/>
    <s v="CD"/>
    <n v="253"/>
    <n v="4875.8919571120005"/>
    <n v="4.8758919571119996"/>
    <n v="19.272300225739102"/>
    <n v="4875.8919571120005"/>
    <n v="253"/>
    <s v="Physical"/>
    <s v="CD"/>
    <x v="0"/>
  </r>
  <r>
    <x v="37"/>
    <s v="CD Single"/>
    <n v="1"/>
    <n v="4.1718553949999997"/>
    <n v="4.1718553950000001E-3"/>
    <n v="4.1718553949999997"/>
    <n v="4.1718553949999997"/>
    <n v="1"/>
    <s v="Physical"/>
    <s v="CD Single"/>
    <x v="0"/>
  </r>
  <r>
    <x v="37"/>
    <s v="DVD Audio"/>
    <n v="0.04"/>
    <n v="1.294713743"/>
    <n v="1.2947137429999999E-3"/>
    <n v="32.367843575000002"/>
    <n v="1.294713743"/>
    <n v="0.04"/>
    <s v="Physical"/>
    <s v="DVD Audio"/>
    <x v="0"/>
  </r>
  <r>
    <x v="37"/>
    <s v="Download Album"/>
    <n v="85.8"/>
    <n v="1255.0091884650001"/>
    <n v="1.2550091884650001"/>
    <n v="14.6271467187062"/>
    <n v="1255.0091884650001"/>
    <n v="85.8"/>
    <s v="Other"/>
    <s v="Download Album"/>
    <x v="0"/>
  </r>
  <r>
    <x v="37"/>
    <s v="Download Music Video"/>
    <n v="18.399999999999999"/>
    <n v="52.651692226000002"/>
    <n v="5.2651692226000003E-2"/>
    <n v="2.8615050122826"/>
    <n v="52.651692226000002"/>
    <n v="18.399999999999999"/>
    <s v="Other"/>
    <s v="Download Music Video"/>
    <x v="0"/>
  </r>
  <r>
    <x v="37"/>
    <s v="Download Single"/>
    <n v="1177.4000000000001"/>
    <n v="1922.506051656"/>
    <n v="1.922506051656"/>
    <n v="1.6328402001494799"/>
    <n v="1922.506051656"/>
    <n v="1177.4000000000001"/>
    <s v="Other"/>
    <s v="Download Single"/>
    <x v="0"/>
  </r>
  <r>
    <x v="37"/>
    <s v="Kiosk"/>
    <n v="1.7"/>
    <n v="9.2068532849999993"/>
    <n v="9.2068532850000002E-3"/>
    <n v="5.41579605"/>
    <n v="9.2068532849999993"/>
    <n v="1.7"/>
    <s v="Other"/>
    <s v="Kiosk"/>
    <x v="0"/>
  </r>
  <r>
    <x v="37"/>
    <s v="LP/EP"/>
    <n v="4.2"/>
    <n v="127.888946417"/>
    <n v="0.12788894641699999"/>
    <n v="30.449749146904701"/>
    <n v="127.888946417"/>
    <n v="4.2"/>
    <s v="Physical"/>
    <s v="LP/EP"/>
    <x v="0"/>
  </r>
  <r>
    <x v="37"/>
    <s v="Music Video (Physical)"/>
    <n v="9.1"/>
    <n v="255.49017867000001"/>
    <n v="0.25549017867000001"/>
    <n v="28.075843809890099"/>
    <n v="255.49017867000001"/>
    <n v="9.1"/>
    <s v="Physical"/>
    <s v="Music Video (Physical)"/>
    <x v="0"/>
  </r>
  <r>
    <x v="37"/>
    <s v="Paid Subscription"/>
    <m/>
    <n v="305.55244340899998"/>
    <n v="0.30555244340900001"/>
    <m/>
    <n v="305.55244340899998"/>
    <m/>
    <s v="Streaming"/>
    <s v="Streaming"/>
    <x v="1"/>
  </r>
  <r>
    <x v="37"/>
    <s v="Ringtones &amp; Ringbacks"/>
    <n v="188.5"/>
    <n v="644.47972997800002"/>
    <n v="0.64447972997799996"/>
    <n v="3.4189906099628602"/>
    <n v="644.47972997800002"/>
    <n v="188.5"/>
    <s v="Other"/>
    <s v="Ringtones &amp; Ringbacks"/>
    <x v="0"/>
  </r>
  <r>
    <x v="37"/>
    <s v="SACD"/>
    <n v="0.1"/>
    <n v="2.4455704040000001"/>
    <n v="2.4455704039999999E-3"/>
    <n v="24.455704040000001"/>
    <n v="2.4455704040000001"/>
    <n v="0.1"/>
    <s v="Physical"/>
    <s v="SACD"/>
    <x v="0"/>
  </r>
  <r>
    <x v="37"/>
    <s v="SoundExchange Distributions"/>
    <m/>
    <n v="358.49184980000001"/>
    <n v="0.35849184979999998"/>
    <m/>
    <n v="358.49184980000001"/>
    <m/>
    <s v="Other"/>
    <s v="SoundExchange Distributions"/>
    <x v="0"/>
  </r>
  <r>
    <x v="37"/>
    <s v="Synchronization"/>
    <m/>
    <n v="271.45831483699999"/>
    <n v="0.271458314837"/>
    <m/>
    <n v="271.45831483699999"/>
    <m/>
    <s v="Other"/>
    <s v="Synchronization"/>
    <x v="0"/>
  </r>
  <r>
    <x v="37"/>
    <s v="Vinyl Single"/>
    <n v="0.3"/>
    <n v="3.3087128990000001"/>
    <n v="3.308712899E-3"/>
    <n v="11.0290429966666"/>
    <n v="3.3087128990000001"/>
    <n v="0.3"/>
    <s v="Physical"/>
    <s v="Vinyl Single"/>
    <x v="0"/>
  </r>
  <r>
    <x v="38"/>
    <s v="CD"/>
    <n v="240.8"/>
    <n v="4324.0855623079997"/>
    <n v="4.3240855623079897"/>
    <n v="17.957165956428501"/>
    <n v="4324.0855623079997"/>
    <n v="240.8"/>
    <s v="Physical"/>
    <s v="CD"/>
    <x v="0"/>
  </r>
  <r>
    <x v="38"/>
    <s v="CD Single"/>
    <n v="1.3"/>
    <n v="4.8809299409999998"/>
    <n v="4.8809299410000001E-3"/>
    <n v="3.75456149307692"/>
    <n v="4.8809299409999998"/>
    <n v="1.3"/>
    <s v="Physical"/>
    <s v="CD Single"/>
    <x v="0"/>
  </r>
  <r>
    <x v="38"/>
    <s v="DVD Audio"/>
    <n v="0.01"/>
    <n v="0.41836542399999999"/>
    <n v="4.1836542400000001E-4"/>
    <n v="41.836542399999999"/>
    <n v="0.41836542399999999"/>
    <n v="0.01"/>
    <s v="Physical"/>
    <s v="DVD Audio"/>
    <x v="0"/>
  </r>
  <r>
    <x v="38"/>
    <s v="Download Album"/>
    <n v="103.9"/>
    <n v="1493.2856516659999"/>
    <n v="1.493285651666"/>
    <n v="14.3723354347064"/>
    <n v="1493.2856516659999"/>
    <n v="103.9"/>
    <s v="Other"/>
    <s v="Download Album"/>
    <x v="0"/>
  </r>
  <r>
    <x v="38"/>
    <s v="Download Music Video"/>
    <n v="16.3"/>
    <n v="45.183465740000003"/>
    <n v="4.5183465739999998E-2"/>
    <n v="2.7719917631901798"/>
    <n v="45.183465740000003"/>
    <n v="16.3"/>
    <s v="Other"/>
    <s v="Download Music Video"/>
    <x v="0"/>
  </r>
  <r>
    <x v="38"/>
    <s v="Download Single"/>
    <n v="1332.3"/>
    <n v="2123.065069197"/>
    <n v="2.1230650691970001"/>
    <n v="1.5935337905854501"/>
    <n v="2123.065069197"/>
    <n v="1332.3"/>
    <s v="Other"/>
    <s v="Download Single"/>
    <x v="0"/>
  </r>
  <r>
    <x v="38"/>
    <s v="Kiosk"/>
    <n v="1.3"/>
    <n v="3.7652888120000001"/>
    <n v="3.7652888120000001E-3"/>
    <n v="2.8963760092307602"/>
    <n v="3.7652888120000001"/>
    <n v="1.3"/>
    <s v="Other"/>
    <s v="Kiosk"/>
    <x v="0"/>
  </r>
  <r>
    <x v="38"/>
    <s v="LP/EP"/>
    <n v="5.5"/>
    <n v="166.50943855899999"/>
    <n v="0.16650943855899999"/>
    <n v="30.274443374363599"/>
    <n v="166.50943855899999"/>
    <n v="5.5"/>
    <s v="Physical"/>
    <s v="LP/EP"/>
    <x v="0"/>
  </r>
  <r>
    <x v="38"/>
    <s v="Music Video (Physical)"/>
    <n v="7.7"/>
    <n v="210.57726316899999"/>
    <n v="0.210577263169"/>
    <n v="27.347696515454501"/>
    <n v="210.57726316899999"/>
    <n v="7.7"/>
    <s v="Physical"/>
    <s v="Music Video (Physical)"/>
    <x v="0"/>
  </r>
  <r>
    <x v="38"/>
    <s v="On-Demand Streaming (Ad-Supported)"/>
    <m/>
    <n v="158.699950653"/>
    <n v="0.15869995065299999"/>
    <m/>
    <n v="158.699950653"/>
    <m/>
    <s v="Streaming"/>
    <s v="Streaming"/>
    <x v="2"/>
  </r>
  <r>
    <x v="38"/>
    <s v="Paid Subscription"/>
    <m/>
    <n v="345.569839823"/>
    <n v="0.34556983982299999"/>
    <m/>
    <n v="345.569839823"/>
    <m/>
    <s v="Streaming"/>
    <s v="Streaming"/>
    <x v="1"/>
  </r>
  <r>
    <x v="38"/>
    <s v="Ringtones &amp; Ringbacks"/>
    <n v="115.4"/>
    <n v="385.17509991600002"/>
    <n v="0.38517509991600002"/>
    <n v="3.3377391673830101"/>
    <n v="385.17509991600002"/>
    <n v="115.4"/>
    <s v="Other"/>
    <s v="Ringtones &amp; Ringbacks"/>
    <x v="0"/>
  </r>
  <r>
    <x v="38"/>
    <s v="SACD"/>
    <n v="0.1"/>
    <n v="2.0918271179999999"/>
    <n v="2.0918271180000001E-3"/>
    <n v="20.918271179999898"/>
    <n v="2.0918271179999999"/>
    <n v="0.1"/>
    <s v="Physical"/>
    <s v="SACD"/>
    <x v="0"/>
  </r>
  <r>
    <x v="38"/>
    <s v="SoundExchange Distributions"/>
    <m/>
    <n v="407.20901222100002"/>
    <n v="0.40720901222099998"/>
    <m/>
    <n v="407.20901222100002"/>
    <m/>
    <s v="Other"/>
    <s v="SoundExchange Distributions"/>
    <x v="0"/>
  </r>
  <r>
    <x v="38"/>
    <s v="Synchronization"/>
    <m/>
    <n v="274.02935240199997"/>
    <n v="0.27402935240199999"/>
    <m/>
    <n v="274.02935240199997"/>
    <m/>
    <s v="Other"/>
    <s v="Synchronization"/>
    <x v="0"/>
  </r>
  <r>
    <x v="38"/>
    <s v="Vinyl Single"/>
    <n v="0.4"/>
    <n v="6.414936494"/>
    <n v="6.4149364940000002E-3"/>
    <n v="16.037341235"/>
    <n v="6.414936494"/>
    <n v="0.4"/>
    <s v="Physical"/>
    <s v="Vinyl Single"/>
    <x v="0"/>
  </r>
  <r>
    <x v="39"/>
    <s v="CD"/>
    <n v="198.164387234"/>
    <n v="3396.0381775730002"/>
    <n v="3.3960381775730002"/>
    <n v="17.1374797710893"/>
    <n v="3396.0381775730002"/>
    <n v="198.164387234"/>
    <s v="Physical"/>
    <s v="CD"/>
    <x v="0"/>
  </r>
  <r>
    <x v="39"/>
    <s v="CD Single"/>
    <n v="1.0728704069999999"/>
    <n v="4.4063702930000002"/>
    <n v="4.4063702929999999E-3"/>
    <n v="4.1070853145453503"/>
    <n v="4.4063702930000002"/>
    <n v="1.0728704069999999"/>
    <s v="Physical"/>
    <s v="CD Single"/>
    <x v="0"/>
  </r>
  <r>
    <x v="39"/>
    <s v="DVD Audio"/>
    <n v="8.5331450000000007E-3"/>
    <n v="0.25017486999999999"/>
    <n v="2.5017486999999997E-4"/>
    <n v="29.318014635869801"/>
    <n v="0.25017486999999999"/>
    <n v="8.5331450000000007E-3"/>
    <s v="Physical"/>
    <s v="DVD Audio"/>
    <x v="0"/>
  </r>
  <r>
    <x v="39"/>
    <s v="Download Album"/>
    <n v="116.733631841"/>
    <n v="1646.120910996"/>
    <n v="1.646120910996"/>
    <n v="14.1015137200403"/>
    <n v="1646.120910996"/>
    <n v="116.733631841"/>
    <s v="Other"/>
    <s v="Download Album"/>
    <x v="0"/>
  </r>
  <r>
    <x v="39"/>
    <s v="Download Music Video"/>
    <n v="10.473489000000001"/>
    <n v="28.476275733000001"/>
    <n v="2.8476275733E-2"/>
    <n v="2.71889107182907"/>
    <n v="28.476275733000001"/>
    <n v="10.473489000000001"/>
    <s v="Other"/>
    <s v="Download Music Video"/>
    <x v="0"/>
  </r>
  <r>
    <x v="39"/>
    <s v="Download Single"/>
    <n v="1402.739373351"/>
    <n v="2246.9390365419999"/>
    <n v="2.2469390365419999"/>
    <n v="1.60182217682697"/>
    <n v="2246.9390365419999"/>
    <n v="1402.739373351"/>
    <s v="Other"/>
    <s v="Download Single"/>
    <x v="0"/>
  </r>
  <r>
    <x v="39"/>
    <s v="Kiosk"/>
    <n v="1.9550700000000001"/>
    <n v="4.9924649419999998"/>
    <n v="4.992464942E-3"/>
    <n v="2.5535990742019399"/>
    <n v="4.9924649419999998"/>
    <n v="1.9550700000000001"/>
    <s v="Other"/>
    <s v="Kiosk"/>
    <x v="0"/>
  </r>
  <r>
    <x v="39"/>
    <s v="LP/EP"/>
    <n v="6.9153651890000001"/>
    <n v="219.59221683600001"/>
    <n v="0.219592216836"/>
    <n v="31.754247365749599"/>
    <n v="219.59221683600001"/>
    <n v="6.9153651890000001"/>
    <s v="Physical"/>
    <s v="LP/EP"/>
    <x v="0"/>
  </r>
  <r>
    <x v="39"/>
    <s v="Music Video (Physical)"/>
    <n v="6.0327254669999997"/>
    <n v="159.32655338800001"/>
    <n v="0.159326553388"/>
    <n v="26.410376911653302"/>
    <n v="159.32655338800001"/>
    <n v="6.0327254669999997"/>
    <s v="Physical"/>
    <s v="Music Video (Physical)"/>
    <x v="0"/>
  </r>
  <r>
    <x v="39"/>
    <s v="On-Demand Streaming (Ad-Supported)"/>
    <m/>
    <n v="233.545115888"/>
    <n v="0.233545115888"/>
    <m/>
    <n v="233.545115888"/>
    <m/>
    <s v="Streaming"/>
    <s v="Streaming"/>
    <x v="2"/>
  </r>
  <r>
    <x v="39"/>
    <s v="Paid Subscription"/>
    <m/>
    <n v="546.35030225100002"/>
    <n v="0.54635030225100001"/>
    <m/>
    <n v="546.35030225100002"/>
    <m/>
    <s v="Streaming"/>
    <s v="Streaming"/>
    <x v="1"/>
  </r>
  <r>
    <x v="39"/>
    <s v="Ringtones &amp; Ringbacks"/>
    <n v="58.757403556"/>
    <n v="199.46678842700001"/>
    <n v="0.199466788427"/>
    <n v="3.39475157776319"/>
    <n v="199.46678842700001"/>
    <n v="58.757403556"/>
    <s v="Other"/>
    <s v="Ringtones &amp; Ringbacks"/>
    <x v="0"/>
  </r>
  <r>
    <x v="39"/>
    <s v="SACD"/>
    <n v="6.5446000000000004E-2"/>
    <n v="1.8342268639999999"/>
    <n v="1.834226864E-3"/>
    <n v="28.026569446566601"/>
    <n v="1.8342268639999999"/>
    <n v="6.5446000000000004E-2"/>
    <s v="Physical"/>
    <s v="SACD"/>
    <x v="0"/>
  </r>
  <r>
    <x v="39"/>
    <s v="SoundExchange Distributions"/>
    <m/>
    <n v="631.21997090499997"/>
    <n v="0.63121997090499904"/>
    <m/>
    <n v="631.21997090499997"/>
    <m/>
    <s v="Other"/>
    <s v="SoundExchange Distributions"/>
    <x v="0"/>
  </r>
  <r>
    <x v="39"/>
    <s v="Synchronization"/>
    <m/>
    <n v="260.40932489900001"/>
    <n v="0.26040932489899998"/>
    <m/>
    <n v="260.40932489900001"/>
    <m/>
    <s v="Other"/>
    <s v="Synchronization"/>
    <x v="0"/>
  </r>
  <r>
    <x v="39"/>
    <s v="Vinyl Single"/>
    <n v="0.388573687"/>
    <n v="6.4803281449999997"/>
    <n v="6.4803281449999899E-3"/>
    <n v="16.677218148844901"/>
    <n v="6.4803281449999997"/>
    <n v="0.388573687"/>
    <s v="Physical"/>
    <s v="Vinyl Single"/>
    <x v="0"/>
  </r>
  <r>
    <x v="40"/>
    <s v="CD"/>
    <n v="173.79330290600001"/>
    <n v="2882.8596612000001"/>
    <n v="2.8828596611999999"/>
    <n v="16.58786393374"/>
    <n v="2882.8596612000001"/>
    <n v="173.79330290600001"/>
    <s v="Physical"/>
    <s v="CD"/>
    <x v="0"/>
  </r>
  <r>
    <x v="40"/>
    <s v="CD Single"/>
    <n v="0.62889539800000005"/>
    <n v="3.293315352"/>
    <n v="3.2933153520000001E-3"/>
    <n v="5.2366663239599598"/>
    <n v="3.293315352"/>
    <n v="0.62889539800000005"/>
    <s v="Physical"/>
    <s v="CD Single"/>
    <x v="0"/>
  </r>
  <r>
    <x v="40"/>
    <s v="DVD Audio"/>
    <n v="-5.4735168000000001E-2"/>
    <m/>
    <m/>
    <m/>
    <m/>
    <n v="-5.4735168000000001E-2"/>
    <s v="Physical"/>
    <s v="DVD Audio"/>
    <x v="0"/>
  </r>
  <r>
    <x v="40"/>
    <s v="Download Album"/>
    <n v="117.979213042"/>
    <n v="1659.1417096380001"/>
    <n v="1.6591417096379999"/>
    <n v="14.0630003104644"/>
    <n v="1659.1417096380001"/>
    <n v="117.979213042"/>
    <s v="Other"/>
    <s v="Download Album"/>
    <x v="0"/>
  </r>
  <r>
    <x v="40"/>
    <s v="Download Music Video"/>
    <n v="8.4124639999999999"/>
    <n v="22.542382294999999"/>
    <n v="2.2542382295E-2"/>
    <n v="2.6796408632476698"/>
    <n v="22.542382294999999"/>
    <n v="8.4124639999999999"/>
    <s v="Other"/>
    <s v="Download Music Video"/>
    <x v="0"/>
  </r>
  <r>
    <x v="40"/>
    <s v="Download Single"/>
    <n v="1332.7953657329999"/>
    <n v="2118.6944973939999"/>
    <n v="2.1186944973939998"/>
    <n v="1.5896622631402799"/>
    <n v="2118.6944973939999"/>
    <n v="1332.7953657329999"/>
    <s v="Other"/>
    <s v="Download Single"/>
    <x v="0"/>
  </r>
  <r>
    <x v="40"/>
    <s v="Kiosk"/>
    <n v="3.7442000000000002"/>
    <n v="8.3265519179999998"/>
    <n v="8.3265519180000004E-3"/>
    <n v="2.2238534047326501"/>
    <n v="8.3265519179999998"/>
    <n v="3.7442000000000002"/>
    <s v="Other"/>
    <s v="Kiosk"/>
    <x v="0"/>
  </r>
  <r>
    <x v="40"/>
    <s v="LP/EP"/>
    <n v="9.3512858699999999"/>
    <n v="283.77134913200001"/>
    <n v="0.28377134913199997"/>
    <n v="30.3457035831158"/>
    <n v="283.77134913200001"/>
    <n v="9.3512858699999999"/>
    <s v="Physical"/>
    <s v="LP/EP"/>
    <x v="0"/>
  </r>
  <r>
    <x v="40"/>
    <s v="Music Video (Physical)"/>
    <n v="4.8146265240000004"/>
    <n v="143.11590211800001"/>
    <n v="0.14311590211799999"/>
    <n v="29.7252344298346"/>
    <n v="143.11590211800001"/>
    <n v="4.8146265240000004"/>
    <s v="Physical"/>
    <s v="Music Video (Physical)"/>
    <x v="0"/>
  </r>
  <r>
    <x v="40"/>
    <s v="On-Demand Streaming (Ad-Supported)"/>
    <m/>
    <n v="297.41798399599998"/>
    <n v="0.297417983996"/>
    <m/>
    <n v="297.41798399599998"/>
    <m/>
    <s v="Streaming"/>
    <s v="Streaming"/>
    <x v="2"/>
  </r>
  <r>
    <x v="40"/>
    <s v="Paid Subscription"/>
    <m/>
    <n v="866.27039674900004"/>
    <n v="0.86627039674899997"/>
    <m/>
    <n v="866.27039674900004"/>
    <m/>
    <s v="Streaming"/>
    <s v="Streaming"/>
    <x v="1"/>
  </r>
  <r>
    <x v="40"/>
    <s v="Ringtones &amp; Ringbacks"/>
    <n v="39.366235777999997"/>
    <n v="131.96169418900001"/>
    <n v="0.131961694189"/>
    <n v="3.3521542403286402"/>
    <n v="131.96169418900001"/>
    <n v="39.366235777999997"/>
    <s v="Other"/>
    <s v="Ringtones &amp; Ringbacks"/>
    <x v="0"/>
  </r>
  <r>
    <x v="40"/>
    <s v="SACD"/>
    <n v="4.4683E-2"/>
    <n v="1.3174442470000001"/>
    <n v="1.317444247E-3"/>
    <n v="29.484238905176401"/>
    <n v="1.3174442470000001"/>
    <n v="4.4683E-2"/>
    <s v="Physical"/>
    <s v="SACD"/>
    <x v="0"/>
  </r>
  <r>
    <x v="40"/>
    <s v="SoundExchange Distributions"/>
    <m/>
    <n v="795.00502496199999"/>
    <n v="0.79500502496199998"/>
    <m/>
    <n v="795.00502496199999"/>
    <m/>
    <s v="Other"/>
    <s v="SoundExchange Distributions"/>
    <x v="0"/>
  </r>
  <r>
    <x v="40"/>
    <s v="Synchronization"/>
    <m/>
    <n v="255.41345386500001"/>
    <n v="0.25541345386499997"/>
    <m/>
    <n v="255.41345386500001"/>
    <m/>
    <s v="Other"/>
    <s v="Synchronization"/>
    <x v="0"/>
  </r>
  <r>
    <x v="40"/>
    <s v="Vinyl Single"/>
    <n v="0.31581705399999999"/>
    <n v="4.0112974709999998"/>
    <n v="4.0112974709999999E-3"/>
    <n v="12.7013326867395"/>
    <n v="4.0112974709999998"/>
    <n v="0.31581705399999999"/>
    <s v="Physical"/>
    <s v="Vinyl Single"/>
    <x v="0"/>
  </r>
  <r>
    <x v="41"/>
    <s v="CD"/>
    <n v="138.702363357"/>
    <n v="2353.633896543"/>
    <n v="2.3536338965430001"/>
    <n v="16.9689530847076"/>
    <n v="2353.633896543"/>
    <n v="138.702363357"/>
    <s v="Physical"/>
    <s v="CD"/>
    <x v="0"/>
  </r>
  <r>
    <x v="41"/>
    <s v="CD Single"/>
    <n v="0.92872511599999996"/>
    <n v="4.7914313870000003"/>
    <n v="4.7914313870000003E-3"/>
    <n v="5.1591491437602004"/>
    <n v="4.7914313870000003"/>
    <n v="0.92872511599999996"/>
    <s v="Physical"/>
    <s v="CD Single"/>
    <x v="0"/>
  </r>
  <r>
    <x v="41"/>
    <s v="DVD Audio"/>
    <n v="6.6542721999999999E-2"/>
    <n v="2.8349104660000002"/>
    <n v="2.8349104659999998E-3"/>
    <n v="42.602862954719498"/>
    <n v="2.8349104660000002"/>
    <n v="6.6542721999999999E-2"/>
    <s v="Physical"/>
    <s v="DVD Audio"/>
    <x v="0"/>
  </r>
  <r>
    <x v="41"/>
    <s v="Download Album"/>
    <n v="114.230470801"/>
    <n v="1481.2826771980001"/>
    <n v="1.4812826771980001"/>
    <n v="12.967491657970401"/>
    <n v="1481.2826771980001"/>
    <n v="114.230470801"/>
    <s v="Other"/>
    <s v="Download Album"/>
    <x v="0"/>
  </r>
  <r>
    <x v="41"/>
    <s v="Download Music Video"/>
    <n v="6.82264392"/>
    <n v="17.990393294"/>
    <n v="1.7990393293999998E-2"/>
    <n v="2.63686534207987"/>
    <n v="17.990393294"/>
    <n v="6.82264392"/>
    <s v="Other"/>
    <s v="Download Music Video"/>
    <x v="0"/>
  </r>
  <r>
    <x v="41"/>
    <s v="Download Single"/>
    <n v="1154.3793268700001"/>
    <n v="1795.8929140319999"/>
    <n v="1.7958929140319999"/>
    <n v="1.5557216525190201"/>
    <n v="1795.8929140319999"/>
    <n v="1154.3793268700001"/>
    <s v="Other"/>
    <s v="Download Single"/>
    <x v="0"/>
  </r>
  <r>
    <x v="41"/>
    <s v="Kiosk"/>
    <n v="1.5920733579999999"/>
    <n v="3.4221432489999999"/>
    <n v="3.4221432489999898E-3"/>
    <n v="2.1494884213746102"/>
    <n v="3.4221432489999999"/>
    <n v="1.5920733579999999"/>
    <s v="Other"/>
    <s v="Kiosk"/>
    <x v="0"/>
  </r>
  <r>
    <x v="41"/>
    <s v="LP/EP"/>
    <n v="10.315563906"/>
    <n v="323.11128856099998"/>
    <n v="0.32311128856099902"/>
    <n v="31.322697576723201"/>
    <n v="323.11128856099998"/>
    <n v="10.315563906"/>
    <s v="Physical"/>
    <s v="LP/EP"/>
    <x v="0"/>
  </r>
  <r>
    <x v="41"/>
    <s v="Music Video (Physical)"/>
    <n v="4.0653236010000002"/>
    <n v="118.86512252199999"/>
    <n v="0.118865122521999"/>
    <n v="29.238784950049499"/>
    <n v="118.86512252199999"/>
    <n v="4.0653236010000002"/>
    <s v="Physical"/>
    <s v="Music Video (Physical)"/>
    <x v="0"/>
  </r>
  <r>
    <x v="41"/>
    <s v="On-Demand Streaming (Ad-Supported)"/>
    <m/>
    <n v="376.04281052300001"/>
    <n v="0.37604281052299998"/>
    <m/>
    <n v="376.04281052300001"/>
    <m/>
    <s v="Streaming"/>
    <s v="Streaming"/>
    <x v="2"/>
  </r>
  <r>
    <x v="41"/>
    <s v="Paid Subscription"/>
    <m/>
    <n v="1020.6533920529999"/>
    <n v="1.0206533920529901"/>
    <m/>
    <n v="1020.6533920529999"/>
    <m/>
    <s v="Streaming"/>
    <s v="Streaming"/>
    <x v="1"/>
  </r>
  <r>
    <x v="41"/>
    <s v="Ringtones &amp; Ringbacks"/>
    <n v="26.632323682999999"/>
    <n v="87.866431607999999"/>
    <n v="8.7866431608000006E-2"/>
    <n v="3.2992401509481102"/>
    <n v="87.866431607999999"/>
    <n v="26.632323682999999"/>
    <s v="Other"/>
    <s v="Ringtones &amp; Ringbacks"/>
    <x v="0"/>
  </r>
  <r>
    <x v="41"/>
    <s v="SACD"/>
    <n v="3.0485999999999999E-2"/>
    <n v="1.0116096450000001"/>
    <n v="1.0116096449999999E-3"/>
    <n v="33.182760775437899"/>
    <n v="1.0116096450000001"/>
    <n v="3.0485999999999999E-2"/>
    <s v="Physical"/>
    <s v="SACD"/>
    <x v="0"/>
  </r>
  <r>
    <x v="41"/>
    <s v="SoundExchange Distributions"/>
    <m/>
    <n v="1024.8000836369999"/>
    <n v="1.0248000836369999"/>
    <m/>
    <n v="1024.8000836369999"/>
    <m/>
    <s v="Other"/>
    <s v="SoundExchange Distributions"/>
    <x v="0"/>
  </r>
  <r>
    <x v="41"/>
    <s v="Synchronization"/>
    <m/>
    <n v="251.380915079"/>
    <n v="0.25138091507900001"/>
    <m/>
    <n v="251.380915079"/>
    <m/>
    <s v="Other"/>
    <s v="Synchronization"/>
    <x v="0"/>
  </r>
  <r>
    <x v="41"/>
    <s v="Vinyl Single"/>
    <n v="0.48119827799999998"/>
    <n v="7.286965007"/>
    <n v="7.2869650069999998E-3"/>
    <n v="15.143372992286499"/>
    <n v="7.286965007"/>
    <n v="0.48119827799999998"/>
    <s v="Physical"/>
    <s v="Vinyl Single"/>
    <x v="0"/>
  </r>
  <r>
    <x v="42"/>
    <s v="CD"/>
    <n v="117.144051764"/>
    <n v="1912.430204942"/>
    <n v="1.9124302049419999"/>
    <n v="16.3254572139506"/>
    <n v="1912.430204942"/>
    <n v="117.144051764"/>
    <s v="Physical"/>
    <s v="CD"/>
    <x v="0"/>
  </r>
  <r>
    <x v="42"/>
    <s v="CD Single"/>
    <n v="0.38672156299999999"/>
    <n v="1.584143691"/>
    <n v="1.5841436909999999E-3"/>
    <n v="4.0963417677332803"/>
    <n v="1.584143691"/>
    <n v="0.38672156299999999"/>
    <s v="Physical"/>
    <s v="CD Single"/>
    <x v="0"/>
  </r>
  <r>
    <x v="42"/>
    <s v="DVD Audio"/>
    <n v="0.179506738"/>
    <n v="7.1683153989999999"/>
    <n v="7.1683153990000003E-3"/>
    <n v="39.9334057254162"/>
    <n v="7.1683153989999999"/>
    <n v="0.179506738"/>
    <s v="Physical"/>
    <s v="DVD Audio"/>
    <x v="0"/>
  </r>
  <r>
    <x v="42"/>
    <s v="Download Album"/>
    <n v="106.783884116"/>
    <n v="1408.764407788"/>
    <n v="1.4087644077879999"/>
    <n v="13.1926687201005"/>
    <n v="1408.764407788"/>
    <n v="106.783884116"/>
    <s v="Other"/>
    <s v="Download Album"/>
    <x v="0"/>
  </r>
  <r>
    <x v="42"/>
    <s v="Download Music Video"/>
    <n v="3.2233250020000002"/>
    <n v="8.4894023710000006"/>
    <n v="8.4894023709999999E-3"/>
    <n v="2.6337407384401201"/>
    <n v="8.4894023710000006"/>
    <n v="3.2233250020000002"/>
    <s v="Other"/>
    <s v="Download Music Video"/>
    <x v="0"/>
  </r>
  <r>
    <x v="42"/>
    <s v="Download Single"/>
    <n v="986.25503590000005"/>
    <n v="1568.6469570740001"/>
    <n v="1.568646957074"/>
    <n v="1.5905084384613899"/>
    <n v="1568.6469570740001"/>
    <n v="986.25503590000005"/>
    <s v="Other"/>
    <s v="Download Single"/>
    <x v="0"/>
  </r>
  <r>
    <x v="42"/>
    <s v="Kiosk"/>
    <n v="2.202659889"/>
    <n v="4.8975053620000004"/>
    <n v="4.8975053620000002E-3"/>
    <n v="2.2234505592342901"/>
    <n v="4.8975053620000004"/>
    <n v="2.202659889"/>
    <s v="Other"/>
    <s v="Kiosk"/>
    <x v="0"/>
  </r>
  <r>
    <x v="42"/>
    <s v="LP/EP"/>
    <n v="13.68102972"/>
    <n v="441.22393719199999"/>
    <n v="0.44122393719199998"/>
    <n v="32.250784204275497"/>
    <n v="441.22393719199999"/>
    <n v="13.68102972"/>
    <s v="Physical"/>
    <s v="LP/EP"/>
    <x v="0"/>
  </r>
  <r>
    <x v="42"/>
    <s v="Music Video (Physical)"/>
    <n v="3.133228006"/>
    <n v="93.218989336999996"/>
    <n v="9.3218989336999999E-2"/>
    <n v="29.7517413857177"/>
    <n v="93.218989336999996"/>
    <n v="3.133228006"/>
    <s v="Physical"/>
    <s v="Music Video (Physical)"/>
    <x v="0"/>
  </r>
  <r>
    <x v="42"/>
    <s v="On-Demand Streaming (Ad-Supported)"/>
    <m/>
    <n v="492.324582018"/>
    <n v="0.492324582018"/>
    <m/>
    <n v="492.324582018"/>
    <m/>
    <s v="Streaming"/>
    <s v="Streaming"/>
    <x v="2"/>
  </r>
  <r>
    <x v="42"/>
    <s v="Paid Subscription"/>
    <m/>
    <n v="1530.8890792960001"/>
    <n v="1.5308890792959999"/>
    <m/>
    <n v="1530.8890792960001"/>
    <m/>
    <s v="Streaming"/>
    <s v="Streaming"/>
    <x v="1"/>
  </r>
  <r>
    <x v="42"/>
    <s v="Ringtones &amp; Ringbacks"/>
    <n v="21.924866053999999"/>
    <n v="72.238618310999996"/>
    <n v="7.2238618310999994E-2"/>
    <n v="3.2948259812889802"/>
    <n v="72.238618310999996"/>
    <n v="21.924866053999999"/>
    <s v="Other"/>
    <s v="Ringtones &amp; Ringbacks"/>
    <x v="0"/>
  </r>
  <r>
    <x v="42"/>
    <s v="SACD"/>
    <n v="4.1633000000000003E-2"/>
    <n v="1.381014787"/>
    <n v="1.381014787E-3"/>
    <n v="33.1711571830038"/>
    <n v="1.381014787"/>
    <n v="4.1633000000000003E-2"/>
    <s v="Physical"/>
    <s v="SACD"/>
    <x v="0"/>
  </r>
  <r>
    <x v="42"/>
    <s v="SoundExchange Distributions"/>
    <m/>
    <n v="1062.2309429280001"/>
    <n v="1.0622309429279999"/>
    <m/>
    <n v="1062.2309429280001"/>
    <m/>
    <s v="Other"/>
    <s v="SoundExchange Distributions"/>
    <x v="0"/>
  </r>
  <r>
    <x v="42"/>
    <s v="Synchronization"/>
    <m/>
    <n v="268.58175608400001"/>
    <n v="0.26858175608399998"/>
    <m/>
    <n v="268.58175608400001"/>
    <m/>
    <s v="Other"/>
    <s v="Synchronization"/>
    <x v="0"/>
  </r>
  <r>
    <x v="42"/>
    <s v="Vinyl Single"/>
    <n v="0.50786991000000004"/>
    <n v="7.6139619219999997"/>
    <n v="7.6139619219999996E-3"/>
    <n v="14.9919531991962"/>
    <n v="7.6139619219999997"/>
    <n v="0.50786991000000004"/>
    <s v="Physical"/>
    <s v="Vinyl Single"/>
    <x v="0"/>
  </r>
  <r>
    <x v="43"/>
    <s v="CD"/>
    <n v="97.577071196999995"/>
    <n v="1477.908696388"/>
    <n v="1.4779086963879999"/>
    <n v="15.1460653436115"/>
    <n v="1477.908696388"/>
    <n v="97.577071196999995"/>
    <s v="Physical"/>
    <s v="CD"/>
    <x v="0"/>
  </r>
  <r>
    <x v="43"/>
    <s v="CD Single"/>
    <n v="0.121745255"/>
    <n v="0.34400103599999998"/>
    <n v="3.4400103599999999E-4"/>
    <n v="2.8255806437794999"/>
    <n v="0.34400103599999998"/>
    <n v="0.121745255"/>
    <s v="Physical"/>
    <s v="CD Single"/>
    <x v="0"/>
  </r>
  <r>
    <x v="43"/>
    <s v="DVD Audio"/>
    <n v="8.5898931999999997E-2"/>
    <n v="3.7060436220000001"/>
    <n v="3.7060436220000001E-3"/>
    <n v="43.144233993502901"/>
    <n v="3.7060436220000001"/>
    <n v="8.5898931999999997E-2"/>
    <s v="Physical"/>
    <s v="DVD Audio"/>
    <x v="0"/>
  </r>
  <r>
    <x v="43"/>
    <s v="Download Album"/>
    <n v="85.123349892999997"/>
    <n v="1135.2521694960001"/>
    <n v="1.1352521694960001"/>
    <n v="13.3365541995587"/>
    <n v="1135.2521694960001"/>
    <n v="85.123349892999997"/>
    <s v="Other"/>
    <s v="Download Album"/>
    <x v="0"/>
  </r>
  <r>
    <x v="43"/>
    <s v="Download Music Video"/>
    <n v="2.145427196"/>
    <n v="5.5801033069999999"/>
    <n v="5.5801033070000004E-3"/>
    <n v="2.6009287648649702"/>
    <n v="5.5801033069999999"/>
    <n v="2.145427196"/>
    <s v="Other"/>
    <s v="Download Music Video"/>
    <x v="0"/>
  </r>
  <r>
    <x v="43"/>
    <s v="Download Single"/>
    <n v="743.00341378300004"/>
    <n v="1176.536636907"/>
    <n v="1.1765366369070001"/>
    <n v="1.58348752520081"/>
    <n v="1176.536636907"/>
    <n v="743.00341378300004"/>
    <s v="Other"/>
    <s v="Download Single"/>
    <x v="0"/>
  </r>
  <r>
    <x v="43"/>
    <s v="Kiosk"/>
    <n v="1.74878121"/>
    <n v="3.8476974309999998"/>
    <n v="3.8476974309999898E-3"/>
    <n v="2.2002165902731701"/>
    <n v="3.8476974309999998"/>
    <n v="1.74878121"/>
    <s v="Other"/>
    <s v="Kiosk"/>
    <x v="0"/>
  </r>
  <r>
    <x v="43"/>
    <s v="LP/EP"/>
    <n v="14.770886025999999"/>
    <n v="464.54795381999998"/>
    <n v="0.46454795381999903"/>
    <n v="31.450242930741801"/>
    <n v="464.54795381999998"/>
    <n v="14.770886025999999"/>
    <s v="Physical"/>
    <s v="LP/EP"/>
    <x v="0"/>
  </r>
  <r>
    <x v="43"/>
    <s v="Limited Tier Paid Subscription"/>
    <m/>
    <n v="336.28146425699998"/>
    <n v="0.33628146425700001"/>
    <m/>
    <n v="336.28146425699998"/>
    <m/>
    <s v="Streaming"/>
    <s v="Streaming"/>
    <x v="1"/>
  </r>
  <r>
    <x v="43"/>
    <s v="Music Video (Physical)"/>
    <n v="2.4955317250000002"/>
    <n v="74.398198637999997"/>
    <n v="7.4398198637999999E-2"/>
    <n v="29.812563748513298"/>
    <n v="74.398198637999997"/>
    <n v="2.4955317250000002"/>
    <s v="Physical"/>
    <s v="Music Video (Physical)"/>
    <x v="0"/>
  </r>
  <r>
    <x v="43"/>
    <s v="On-Demand Streaming (Ad-Supported)"/>
    <m/>
    <n v="623.16746573"/>
    <n v="0.62316746573000004"/>
    <m/>
    <n v="623.16746573"/>
    <m/>
    <s v="Streaming"/>
    <s v="Streaming"/>
    <x v="2"/>
  </r>
  <r>
    <x v="43"/>
    <s v="Other Ad-Supported Streaming"/>
    <m/>
    <n v="92.320141852999996"/>
    <n v="9.2320141852999998E-2"/>
    <m/>
    <n v="92.320141852999996"/>
    <m/>
    <s v="Streaming"/>
    <s v="Streaming"/>
    <x v="2"/>
  </r>
  <r>
    <x v="43"/>
    <s v="Other Digital"/>
    <m/>
    <n v="22.40414273"/>
    <n v="2.240414273E-2"/>
    <m/>
    <n v="22.40414273"/>
    <m/>
    <s v="Other"/>
    <s v="Other Digital"/>
    <x v="0"/>
  </r>
  <r>
    <x v="43"/>
    <s v="Paid Subscription"/>
    <m/>
    <n v="2857.6786056259998"/>
    <n v="2.857678605626"/>
    <m/>
    <n v="2857.6786056259998"/>
    <m/>
    <s v="Streaming"/>
    <s v="Streaming"/>
    <x v="1"/>
  </r>
  <r>
    <x v="43"/>
    <s v="Ringtones &amp; Ringbacks"/>
    <n v="22.620785391999998"/>
    <n v="73.617130989000003"/>
    <n v="7.3617130988999996E-2"/>
    <n v="3.2544020781451302"/>
    <n v="73.617130989000003"/>
    <n v="22.620785391999998"/>
    <s v="Other"/>
    <s v="Ringtones &amp; Ringbacks"/>
    <x v="0"/>
  </r>
  <r>
    <x v="43"/>
    <s v="SACD"/>
    <n v="4.5272E-2"/>
    <n v="1.577367205"/>
    <n v="1.5773672049999999E-3"/>
    <n v="34.8420039980561"/>
    <n v="1.577367205"/>
    <n v="4.5272E-2"/>
    <s v="Physical"/>
    <s v="SACD"/>
    <x v="0"/>
  </r>
  <r>
    <x v="43"/>
    <s v="SoundExchange Distributions"/>
    <m/>
    <n v="1155.2567512610001"/>
    <n v="1.1552567512609999"/>
    <m/>
    <n v="1155.2567512610001"/>
    <m/>
    <s v="Other"/>
    <s v="SoundExchange Distributions"/>
    <x v="0"/>
  </r>
  <r>
    <x v="43"/>
    <s v="Synchronization"/>
    <m/>
    <n v="280.79440896199998"/>
    <n v="0.28079440896199998"/>
    <m/>
    <n v="280.79440896199998"/>
    <m/>
    <s v="Other"/>
    <s v="Synchronization"/>
    <x v="0"/>
  </r>
  <r>
    <x v="43"/>
    <s v="Vinyl Single"/>
    <n v="0.40433065099999999"/>
    <n v="6.3790453229999997"/>
    <n v="6.3790453229999999E-3"/>
    <n v="15.776803730370601"/>
    <n v="6.3790453229999997"/>
    <n v="0.40433065099999999"/>
    <s v="Physical"/>
    <s v="Vinyl Single"/>
    <x v="0"/>
  </r>
  <r>
    <x v="44"/>
    <s v="CD"/>
    <n v="86.695372388999999"/>
    <n v="1335.9374276860001"/>
    <n v="1.3359374276860001"/>
    <n v="15.4095586750776"/>
    <n v="1335.9374276860001"/>
    <n v="86.695372388999999"/>
    <s v="Physical"/>
    <s v="CD"/>
    <x v="0"/>
  </r>
  <r>
    <x v="44"/>
    <s v="CD Single"/>
    <n v="1.5918667000000001E-2"/>
    <n v="0.23334613900000001"/>
    <n v="2.3334613900000001E-4"/>
    <n v="14.658648177011299"/>
    <n v="0.23334613900000001"/>
    <n v="1.5918667000000001E-2"/>
    <s v="Physical"/>
    <s v="CD Single"/>
    <x v="0"/>
  </r>
  <r>
    <x v="44"/>
    <s v="DVD Audio"/>
    <n v="7.2659999999999999E-3"/>
    <n v="0.39522236599999999"/>
    <n v="3.9522236599999998E-4"/>
    <n v="54.393389210019201"/>
    <n v="0.39522236599999999"/>
    <n v="7.2659999999999999E-3"/>
    <s v="Physical"/>
    <s v="DVD Audio"/>
    <x v="0"/>
  </r>
  <r>
    <x v="44"/>
    <s v="Download Album"/>
    <n v="64.523437322999996"/>
    <n v="831.50090614400006"/>
    <n v="0.83150090614399996"/>
    <n v="12.8868042472933"/>
    <n v="831.50090614400006"/>
    <n v="64.523437322999996"/>
    <s v="Other"/>
    <s v="Download Album"/>
    <x v="0"/>
  </r>
  <r>
    <x v="44"/>
    <s v="Download Music Video"/>
    <n v="1.399889693"/>
    <n v="3.5650648490000001"/>
    <n v="3.5650648489999998E-3"/>
    <n v="2.54667554652822"/>
    <n v="3.5650648490000001"/>
    <n v="1.399889693"/>
    <s v="Other"/>
    <s v="Download Music Video"/>
    <x v="0"/>
  </r>
  <r>
    <x v="44"/>
    <s v="Download Single"/>
    <n v="544.82912059299997"/>
    <n v="854.70518369900003"/>
    <n v="0.85470518369899995"/>
    <n v="1.5687582608813599"/>
    <n v="854.70518369900003"/>
    <n v="544.82912059299997"/>
    <s v="Other"/>
    <s v="Download Single"/>
    <x v="0"/>
  </r>
  <r>
    <x v="44"/>
    <s v="Kiosk"/>
    <n v="1.322377717"/>
    <n v="2.885477007"/>
    <n v="2.885477007E-3"/>
    <n v="2.1820369247797902"/>
    <n v="2.885477007"/>
    <n v="1.322377717"/>
    <s v="Other"/>
    <s v="Kiosk"/>
    <x v="0"/>
  </r>
  <r>
    <x v="44"/>
    <s v="LP/EP"/>
    <n v="15.556089168"/>
    <n v="497.19182853400002"/>
    <n v="0.49719182853400001"/>
    <n v="31.961235447065899"/>
    <n v="497.19182853400002"/>
    <n v="15.556089168"/>
    <s v="Physical"/>
    <s v="LP/EP"/>
    <x v="0"/>
  </r>
  <r>
    <x v="44"/>
    <s v="Limited Tier Paid Subscription"/>
    <m/>
    <n v="727.89907766900001"/>
    <n v="0.72789907766899997"/>
    <m/>
    <n v="727.89907766900001"/>
    <m/>
    <s v="Streaming"/>
    <s v="Streaming"/>
    <x v="1"/>
  </r>
  <r>
    <x v="44"/>
    <s v="Music Video (Physical)"/>
    <n v="1.8249377899999999"/>
    <n v="47.985770295999998"/>
    <n v="4.7985770295999999E-2"/>
    <n v="26.294469082148801"/>
    <n v="47.985770295999998"/>
    <n v="1.8249377899999999"/>
    <s v="Physical"/>
    <s v="Music Video (Physical)"/>
    <x v="0"/>
  </r>
  <r>
    <x v="44"/>
    <s v="On-Demand Streaming (Ad-Supported)"/>
    <m/>
    <n v="786.09645333900005"/>
    <n v="0.78609645333900002"/>
    <m/>
    <n v="786.09645333900005"/>
    <m/>
    <s v="Streaming"/>
    <s v="Streaming"/>
    <x v="2"/>
  </r>
  <r>
    <x v="44"/>
    <s v="Other Ad-Supported Streaming"/>
    <m/>
    <n v="286.575197613"/>
    <n v="0.28657519761299999"/>
    <m/>
    <n v="286.575197613"/>
    <m/>
    <s v="Streaming"/>
    <s v="Streaming"/>
    <x v="2"/>
  </r>
  <r>
    <x v="44"/>
    <s v="Other Digital"/>
    <m/>
    <n v="21.608490655000001"/>
    <n v="2.1608490655E-2"/>
    <m/>
    <n v="21.608490655000001"/>
    <m/>
    <s v="Other"/>
    <s v="Other Digital"/>
    <x v="0"/>
  </r>
  <r>
    <x v="44"/>
    <s v="Paid Subscription"/>
    <m/>
    <n v="4299.6085047300003"/>
    <n v="4.2996085047300001"/>
    <m/>
    <n v="4299.6085047300003"/>
    <m/>
    <s v="Streaming"/>
    <s v="Streaming"/>
    <x v="1"/>
  </r>
  <r>
    <x v="44"/>
    <s v="Ringtones &amp; Ringbacks"/>
    <n v="14.262869941"/>
    <n v="45.448222190000003"/>
    <n v="4.5448222189999998E-2"/>
    <n v="3.1864710523198898"/>
    <n v="45.448222190000003"/>
    <n v="14.262869941"/>
    <s v="Other"/>
    <s v="Ringtones &amp; Ringbacks"/>
    <x v="0"/>
  </r>
  <r>
    <x v="44"/>
    <s v="SACD"/>
    <n v="3.2749E-2"/>
    <n v="1.0885163920000001"/>
    <n v="1.088516392E-3"/>
    <n v="33.238156646004398"/>
    <n v="1.0885163920000001"/>
    <n v="3.2749E-2"/>
    <s v="Physical"/>
    <s v="SACD"/>
    <x v="0"/>
  </r>
  <r>
    <x v="44"/>
    <s v="SoundExchange Distributions"/>
    <m/>
    <n v="834.38816906"/>
    <n v="0.83438816906000002"/>
    <m/>
    <n v="834.38816906"/>
    <m/>
    <s v="Other"/>
    <s v="SoundExchange Distributions"/>
    <x v="0"/>
  </r>
  <r>
    <x v="44"/>
    <s v="Synchronization"/>
    <m/>
    <n v="297.009584211"/>
    <n v="0.29700958421099999"/>
    <m/>
    <n v="297.009584211"/>
    <m/>
    <s v="Other"/>
    <s v="Synchronization"/>
    <x v="0"/>
  </r>
  <r>
    <x v="44"/>
    <s v="Vinyl Single"/>
    <n v="0.40295936500000001"/>
    <n v="7.7787313239999998"/>
    <n v="7.7787313240000001E-3"/>
    <n v="19.304009286395399"/>
    <n v="7.7787313239999998"/>
    <n v="0.40295936500000001"/>
    <s v="Physical"/>
    <s v="Vinyl Single"/>
    <x v="0"/>
  </r>
  <r>
    <x v="45"/>
    <s v="CD"/>
    <n v="51.781960712999997"/>
    <n v="869.22732406199998"/>
    <n v="0.86922732406199998"/>
    <n v="16.786296078660801"/>
    <n v="869.22732406199998"/>
    <n v="51.781960712999997"/>
    <s v="Physical"/>
    <s v="CD"/>
    <x v="0"/>
  </r>
  <r>
    <x v="45"/>
    <s v="CD Single"/>
    <n v="2.0760000000000002E-3"/>
    <n v="1.9742926000000001E-2"/>
    <n v="1.9742926000000001E-5"/>
    <n v="9.5100799614643492"/>
    <n v="1.9742926000000001E-2"/>
    <n v="2.0760000000000002E-3"/>
    <s v="Physical"/>
    <s v="CD Single"/>
    <x v="0"/>
  </r>
  <r>
    <x v="45"/>
    <s v="DVD Audio"/>
    <n v="9.1999999999999998E-3"/>
    <n v="0.41082876699999998"/>
    <n v="4.1082876699999999E-4"/>
    <n v="44.655300760869501"/>
    <n v="0.41082876699999998"/>
    <n v="9.1999999999999998E-3"/>
    <s v="Physical"/>
    <s v="DVD Audio"/>
    <x v="0"/>
  </r>
  <r>
    <x v="45"/>
    <s v="Download Album"/>
    <n v="49.297698210999997"/>
    <n v="618.68881410400002"/>
    <n v="0.61868881410400001"/>
    <n v="12.550054800853699"/>
    <n v="618.68881410400002"/>
    <n v="49.297698210999997"/>
    <s v="Other"/>
    <s v="Download Album"/>
    <x v="0"/>
  </r>
  <r>
    <x v="45"/>
    <s v="Download Music Video"/>
    <n v="1.1159852260000001"/>
    <n v="2.7742908659999999"/>
    <n v="2.774290866E-3"/>
    <n v="2.4859566250207599"/>
    <n v="2.7742908659999999"/>
    <n v="1.1159852260000001"/>
    <s v="Other"/>
    <s v="Download Music Video"/>
    <x v="0"/>
  </r>
  <r>
    <x v="45"/>
    <s v="Download Single"/>
    <n v="399.313889582"/>
    <n v="611.95285180300004"/>
    <n v="0.61195285180299996"/>
    <n v="1.5325108085861701"/>
    <n v="611.95285180300004"/>
    <n v="399.313889582"/>
    <s v="Other"/>
    <s v="Download Single"/>
    <x v="0"/>
  </r>
  <r>
    <x v="45"/>
    <s v="Kiosk"/>
    <n v="1.097856529"/>
    <n v="2.4547832270000001"/>
    <n v="2.4547832269999998E-3"/>
    <n v="2.2359781648663799"/>
    <n v="2.4547832270000001"/>
    <n v="1.097856529"/>
    <s v="Other"/>
    <s v="Kiosk"/>
    <x v="0"/>
  </r>
  <r>
    <x v="45"/>
    <s v="LP/EP"/>
    <n v="16.670127325999999"/>
    <n v="523.70479794799996"/>
    <n v="0.52370479794799996"/>
    <n v="31.415764721316201"/>
    <n v="523.70479794799996"/>
    <n v="16.670127325999999"/>
    <s v="Physical"/>
    <s v="LP/EP"/>
    <x v="0"/>
  </r>
  <r>
    <x v="45"/>
    <s v="Limited Tier Paid Subscription"/>
    <m/>
    <n v="925.067271248"/>
    <n v="0.92506727124800003"/>
    <m/>
    <n v="925.067271248"/>
    <m/>
    <s v="Streaming"/>
    <s v="Streaming"/>
    <x v="1"/>
  </r>
  <r>
    <x v="45"/>
    <s v="Music Video (Physical)"/>
    <n v="1.4367134669999999"/>
    <n v="35.497105544999997"/>
    <n v="3.5497105544999998E-2"/>
    <n v="24.707157244876001"/>
    <n v="35.497105544999997"/>
    <n v="1.4367134669999999"/>
    <s v="Physical"/>
    <s v="Music Video (Physical)"/>
    <x v="0"/>
  </r>
  <r>
    <x v="45"/>
    <s v="On-Demand Streaming (Ad-Supported)"/>
    <m/>
    <n v="940.27751938500001"/>
    <n v="0.94027751938500004"/>
    <m/>
    <n v="940.27751938500001"/>
    <m/>
    <s v="Streaming"/>
    <s v="Streaming"/>
    <x v="2"/>
  </r>
  <r>
    <x v="45"/>
    <s v="Other Ad-Supported Streaming"/>
    <m/>
    <n v="260.059608475"/>
    <n v="0.26005960847499998"/>
    <m/>
    <n v="260.059608475"/>
    <m/>
    <s v="Streaming"/>
    <s v="Streaming"/>
    <x v="2"/>
  </r>
  <r>
    <x v="45"/>
    <s v="Other Digital"/>
    <m/>
    <n v="24.784081685"/>
    <n v="2.4784081685000001E-2"/>
    <m/>
    <n v="24.784081685"/>
    <m/>
    <s v="Other"/>
    <s v="Other Digital"/>
    <x v="0"/>
  </r>
  <r>
    <x v="45"/>
    <s v="Paid Subscription"/>
    <m/>
    <n v="5763.9446530269997"/>
    <n v="5.763944653027"/>
    <m/>
    <n v="5763.9446530269997"/>
    <m/>
    <s v="Streaming"/>
    <s v="Streaming"/>
    <x v="1"/>
  </r>
  <r>
    <x v="45"/>
    <s v="Ringtones &amp; Ringbacks"/>
    <n v="10.026286725"/>
    <n v="31.177968285999999"/>
    <n v="3.1177968285999998E-2"/>
    <n v="3.10962264905704"/>
    <n v="31.177968285999999"/>
    <n v="10.026286725"/>
    <s v="Other"/>
    <s v="Ringtones &amp; Ringbacks"/>
    <x v="0"/>
  </r>
  <r>
    <x v="45"/>
    <s v="SACD"/>
    <n v="3.2804E-2"/>
    <n v="1.0739578839999999"/>
    <n v="1.0739578839999899E-3"/>
    <n v="32.7386258992805"/>
    <n v="1.0739578839999999"/>
    <n v="3.2804E-2"/>
    <s v="Physical"/>
    <s v="SACD"/>
    <x v="0"/>
  </r>
  <r>
    <x v="45"/>
    <s v="SoundExchange Distributions"/>
    <m/>
    <n v="1190.261040911"/>
    <n v="1.1902610409109999"/>
    <m/>
    <n v="1190.261040911"/>
    <m/>
    <s v="Other"/>
    <s v="SoundExchange Distributions"/>
    <x v="0"/>
  </r>
  <r>
    <x v="45"/>
    <s v="Synchronization"/>
    <m/>
    <n v="356.67042967700002"/>
    <n v="0.35667042967700002"/>
    <m/>
    <n v="356.67042967700002"/>
    <m/>
    <s v="Other"/>
    <s v="Synchronization"/>
    <x v="0"/>
  </r>
  <r>
    <x v="45"/>
    <s v="Vinyl Single"/>
    <n v="0.36799533299999998"/>
    <n v="7.1463143929999999"/>
    <n v="7.1463143929999997E-3"/>
    <n v="19.419578870039601"/>
    <n v="7.1463143929999999"/>
    <n v="0.36799533299999998"/>
    <s v="Physical"/>
    <s v="Vinyl Single"/>
    <x v="0"/>
  </r>
  <r>
    <x v="46"/>
    <s v="CD"/>
    <n v="47.960408598000001"/>
    <n v="781.16979160699998"/>
    <n v="0.78116979160699995"/>
    <n v="16.287805180199701"/>
    <n v="781.16979160699998"/>
    <n v="47.960408598000001"/>
    <s v="Physical"/>
    <s v="CD"/>
    <x v="0"/>
  </r>
  <r>
    <x v="46"/>
    <s v="CD Single"/>
    <n v="9.0506670000000001E-3"/>
    <n v="7.6758961000000001E-2"/>
    <n v="7.6758960999999995E-5"/>
    <n v="8.4810280833445706"/>
    <n v="7.6758961000000001E-2"/>
    <n v="9.0506670000000001E-3"/>
    <s v="Physical"/>
    <s v="CD Single"/>
    <x v="0"/>
  </r>
  <r>
    <x v="46"/>
    <s v="DVD Audio"/>
    <n v="5.3336000000000001E-2"/>
    <n v="1.57015635"/>
    <n v="1.57015635E-3"/>
    <n v="29.438959614519199"/>
    <n v="1.57015635"/>
    <n v="5.3336000000000001E-2"/>
    <s v="Physical"/>
    <s v="DVD Audio"/>
    <x v="0"/>
  </r>
  <r>
    <x v="46"/>
    <s v="Download Album"/>
    <n v="37.462013818999999"/>
    <n v="452.157198446"/>
    <n v="0.452157198446"/>
    <n v="12.0697515256554"/>
    <n v="452.157198446"/>
    <n v="37.462013818999999"/>
    <s v="Other"/>
    <s v="Download Album"/>
    <x v="0"/>
  </r>
  <r>
    <x v="46"/>
    <s v="Download Music Video"/>
    <n v="0.93217183000000003"/>
    <n v="2.2760964019999999"/>
    <n v="2.2760964019999902E-3"/>
    <n v="2.4417133502092598"/>
    <n v="2.2760964019999999"/>
    <n v="0.93217183000000003"/>
    <s v="Other"/>
    <s v="Download Music Video"/>
    <x v="0"/>
  </r>
  <r>
    <x v="46"/>
    <s v="Download Single"/>
    <n v="325.30965685000001"/>
    <n v="494.44072307900001"/>
    <n v="0.494440723079"/>
    <n v="1.5199079174799399"/>
    <n v="494.44072307900001"/>
    <n v="325.30965685000001"/>
    <s v="Other"/>
    <s v="Download Single"/>
    <x v="0"/>
  </r>
  <r>
    <x v="46"/>
    <s v="Kiosk"/>
    <n v="0.89970386499999999"/>
    <n v="1.9465861369999999"/>
    <n v="1.946586137E-3"/>
    <n v="2.1635853892880599"/>
    <n v="1.9465861369999999"/>
    <n v="0.89970386499999999"/>
    <s v="Other"/>
    <s v="Kiosk"/>
    <x v="0"/>
  </r>
  <r>
    <x v="46"/>
    <s v="LP/EP"/>
    <n v="19.805784999"/>
    <n v="632.48028503800003"/>
    <n v="0.63248028503800002"/>
    <n v="31.934118494668802"/>
    <n v="632.48028503800003"/>
    <n v="19.805784999"/>
    <s v="Physical"/>
    <s v="LP/EP"/>
    <x v="0"/>
  </r>
  <r>
    <x v="46"/>
    <s v="Limited Tier Paid Subscription"/>
    <m/>
    <n v="778.05955762600001"/>
    <n v="0.77805955762599999"/>
    <m/>
    <n v="778.05955762600001"/>
    <m/>
    <s v="Streaming"/>
    <s v="Streaming"/>
    <x v="1"/>
  </r>
  <r>
    <x v="46"/>
    <s v="Music Video (Physical)"/>
    <n v="1.296883934"/>
    <n v="32.609016402000002"/>
    <n v="3.2609016402E-2"/>
    <n v="25.144128589382301"/>
    <n v="32.609016402000002"/>
    <n v="1.296883934"/>
    <s v="Physical"/>
    <s v="Music Video (Physical)"/>
    <x v="0"/>
  </r>
  <r>
    <x v="46"/>
    <s v="On-Demand Streaming (Ad-Supported)"/>
    <m/>
    <n v="1235.08285804"/>
    <n v="1.23508285804"/>
    <m/>
    <n v="1235.08285804"/>
    <m/>
    <s v="Streaming"/>
    <s v="Streaming"/>
    <x v="2"/>
  </r>
  <r>
    <x v="46"/>
    <s v="Other Ad-Supported Streaming"/>
    <m/>
    <n v="254.35467633900001"/>
    <n v="0.254354676339"/>
    <m/>
    <n v="254.35467633900001"/>
    <m/>
    <s v="Streaming"/>
    <s v="Streaming"/>
    <x v="2"/>
  </r>
  <r>
    <x v="46"/>
    <s v="Other Digital"/>
    <m/>
    <n v="26.395601116999998"/>
    <n v="2.6395601116999901E-2"/>
    <m/>
    <n v="26.395601116999998"/>
    <m/>
    <s v="Other"/>
    <s v="Other Digital"/>
    <x v="0"/>
  </r>
  <r>
    <x v="46"/>
    <s v="Paid Subscription"/>
    <m/>
    <n v="7453.4653669059999"/>
    <n v="7.4534653669060003"/>
    <m/>
    <n v="7453.4653669059999"/>
    <m/>
    <s v="Streaming"/>
    <s v="Streaming"/>
    <x v="1"/>
  </r>
  <r>
    <x v="46"/>
    <s v="Ringtones &amp; Ringbacks"/>
    <n v="8.2903404890000001"/>
    <n v="25.326724641999999"/>
    <n v="2.5326724642E-2"/>
    <n v="3.0549679685176501"/>
    <n v="25.326724641999999"/>
    <n v="8.2903404890000001"/>
    <s v="Other"/>
    <s v="Ringtones &amp; Ringbacks"/>
    <x v="0"/>
  </r>
  <r>
    <x v="46"/>
    <s v="SACD"/>
    <n v="1.7654E-2"/>
    <n v="0.53165828699999995"/>
    <n v="5.31658287E-4"/>
    <n v="30.115457516709998"/>
    <n v="0.53165828699999995"/>
    <n v="1.7654E-2"/>
    <s v="Physical"/>
    <s v="SACD"/>
    <x v="0"/>
  </r>
  <r>
    <x v="46"/>
    <s v="SoundExchange Distributions"/>
    <m/>
    <n v="1114.353801382"/>
    <n v="1.114353801382"/>
    <m/>
    <n v="1114.353801382"/>
    <m/>
    <s v="Other"/>
    <s v="SoundExchange Distributions"/>
    <x v="0"/>
  </r>
  <r>
    <x v="46"/>
    <s v="Synchronization"/>
    <m/>
    <n v="344.92297479699999"/>
    <n v="0.34492297479700001"/>
    <m/>
    <n v="344.92297479699999"/>
    <m/>
    <s v="Other"/>
    <s v="Synchronization"/>
    <x v="0"/>
  </r>
  <r>
    <x v="46"/>
    <s v="Vinyl Single"/>
    <n v="0.33267833299999999"/>
    <n v="8.2556213080000003"/>
    <n v="8.2556213079999999E-3"/>
    <n v="24.815626655193"/>
    <n v="8.2556213080000003"/>
    <n v="0.33267833299999999"/>
    <s v="Physical"/>
    <s v="Vinyl Single"/>
    <x v="0"/>
  </r>
  <r>
    <x v="47"/>
    <s v="CD"/>
    <n v="30.990884989000001"/>
    <n v="574.34494415699999"/>
    <n v="0.57434494415699999"/>
    <n v="18.532705482946302"/>
    <n v="574.34494415699999"/>
    <n v="30.990884989000001"/>
    <s v="Physical"/>
    <s v="CD"/>
    <x v="0"/>
  </r>
  <r>
    <x v="47"/>
    <s v="CD Single"/>
    <n v="3.4233332999999998E-2"/>
    <n v="0.448883439"/>
    <n v="4.48883439E-4"/>
    <n v="13.1124667002187"/>
    <n v="0.448883439"/>
    <n v="3.4233332999999998E-2"/>
    <s v="Physical"/>
    <s v="CD Single"/>
    <x v="0"/>
  </r>
  <r>
    <x v="47"/>
    <s v="DVD Audio"/>
    <n v="8.3246000000000001E-2"/>
    <n v="2.2346908980000002"/>
    <n v="2.234690898E-3"/>
    <n v="26.844423732071199"/>
    <n v="2.2346908980000002"/>
    <n v="8.3246000000000001E-2"/>
    <s v="Physical"/>
    <s v="DVD Audio"/>
    <x v="0"/>
  </r>
  <r>
    <x v="47"/>
    <s v="Download Album"/>
    <n v="33.070586333999998"/>
    <n v="386.97114225899998"/>
    <n v="0.38697114225899998"/>
    <n v="11.701369257585601"/>
    <n v="386.97114225899998"/>
    <n v="33.070586333999998"/>
    <s v="Other"/>
    <s v="Download Album"/>
    <x v="0"/>
  </r>
  <r>
    <x v="47"/>
    <s v="Download Music Video"/>
    <n v="0.90162083699999995"/>
    <n v="2.1746710610000002"/>
    <n v="2.1746710610000002E-3"/>
    <n v="2.4119574124261201"/>
    <n v="2.1746710610000002"/>
    <n v="0.90162083699999995"/>
    <s v="Other"/>
    <s v="Download Music Video"/>
    <x v="0"/>
  </r>
  <r>
    <x v="47"/>
    <s v="Download Single"/>
    <n v="255.158662015"/>
    <n v="376.20076229300003"/>
    <n v="0.37620076229299998"/>
    <n v="1.47437974208723"/>
    <n v="376.20076229300003"/>
    <n v="255.158662015"/>
    <s v="Other"/>
    <s v="Download Single"/>
    <x v="0"/>
  </r>
  <r>
    <x v="47"/>
    <s v="Kiosk"/>
    <n v="0.69716509000000004"/>
    <n v="1.426429607"/>
    <n v="1.4264296070000001E-3"/>
    <n v="2.0460427916721899"/>
    <n v="1.426429607"/>
    <n v="0.69716509000000004"/>
    <s v="Other"/>
    <s v="Kiosk"/>
    <x v="0"/>
  </r>
  <r>
    <x v="47"/>
    <s v="LP/EP"/>
    <n v="25.581562947999998"/>
    <n v="844.01744064599995"/>
    <n v="0.84401744064599904"/>
    <n v="32.993192885112002"/>
    <n v="844.01744064599995"/>
    <n v="25.581562947999998"/>
    <s v="Physical"/>
    <s v="LP/EP"/>
    <x v="0"/>
  </r>
  <r>
    <x v="47"/>
    <s v="Limited Tier Paid Subscription"/>
    <m/>
    <n v="870.07992108500002"/>
    <n v="0.87007992108499999"/>
    <m/>
    <n v="870.07992108500002"/>
    <m/>
    <s v="Streaming"/>
    <s v="Streaming"/>
    <x v="1"/>
  </r>
  <r>
    <x v="47"/>
    <s v="Music Video (Physical)"/>
    <n v="1.000631276"/>
    <n v="33.242135761"/>
    <n v="3.3242135760999998E-2"/>
    <n v="33.221164037450997"/>
    <n v="33.242135761"/>
    <n v="1.000631276"/>
    <s v="Physical"/>
    <s v="Music Video (Physical)"/>
    <x v="0"/>
  </r>
  <r>
    <x v="47"/>
    <s v="On-Demand Streaming (Ad-Supported)"/>
    <m/>
    <n v="1450.3237317769999"/>
    <n v="1.4503237317769999"/>
    <m/>
    <n v="1450.3237317769999"/>
    <m/>
    <s v="Streaming"/>
    <s v="Streaming"/>
    <x v="2"/>
  </r>
  <r>
    <x v="47"/>
    <s v="Other Ad-Supported Streaming"/>
    <m/>
    <n v="256.04032685700003"/>
    <n v="0.25604032685700001"/>
    <m/>
    <n v="256.04032685700003"/>
    <m/>
    <s v="Streaming"/>
    <s v="Streaming"/>
    <x v="2"/>
  </r>
  <r>
    <x v="47"/>
    <s v="Other Digital"/>
    <m/>
    <n v="22.895735116000001"/>
    <n v="2.2895735116000002E-2"/>
    <m/>
    <n v="22.895735116000001"/>
    <m/>
    <s v="Other"/>
    <s v="Other Digital"/>
    <x v="0"/>
  </r>
  <r>
    <x v="47"/>
    <s v="Paid Subscription"/>
    <m/>
    <n v="8426.2397011009998"/>
    <n v="8.4262397011010002"/>
    <m/>
    <n v="8426.2397011009998"/>
    <m/>
    <s v="Streaming"/>
    <s v="Streaming"/>
    <x v="1"/>
  </r>
  <r>
    <x v="47"/>
    <s v="Ringtones &amp; Ringbacks"/>
    <n v="8.1283922969999995"/>
    <n v="24.531190200000001"/>
    <n v="2.4531190200000001E-2"/>
    <n v="3.0179633688514098"/>
    <n v="24.531190200000001"/>
    <n v="8.1283922969999995"/>
    <s v="Other"/>
    <s v="Ringtones &amp; Ringbacks"/>
    <x v="0"/>
  </r>
  <r>
    <x v="47"/>
    <s v="SACD"/>
    <n v="1.1387E-2"/>
    <n v="0.28685622599999999"/>
    <n v="2.8685622600000001E-4"/>
    <n v="25.1915540528673"/>
    <n v="0.28685622599999999"/>
    <n v="1.1387E-2"/>
    <s v="Physical"/>
    <s v="SACD"/>
    <x v="0"/>
  </r>
  <r>
    <x v="47"/>
    <s v="SoundExchange Distributions"/>
    <m/>
    <n v="1148.2856547829999"/>
    <n v="1.148285654783"/>
    <m/>
    <n v="1148.2856547829999"/>
    <m/>
    <s v="Other"/>
    <s v="SoundExchange Distributions"/>
    <x v="0"/>
  </r>
  <r>
    <x v="47"/>
    <s v="Synchronization"/>
    <m/>
    <n v="321.47643103399997"/>
    <n v="0.32147643103399998"/>
    <m/>
    <n v="321.47643103399997"/>
    <m/>
    <s v="Other"/>
    <s v="Synchronization"/>
    <x v="0"/>
  </r>
  <r>
    <x v="47"/>
    <s v="Vinyl Single"/>
    <n v="0.383001333"/>
    <n v="7.6567164449999998"/>
    <n v="7.65671644499999E-3"/>
    <n v="19.991357171072799"/>
    <n v="7.6567164449999998"/>
    <n v="0.383001333"/>
    <s v="Physical"/>
    <s v="Vinyl Single"/>
    <x v="0"/>
  </r>
  <r>
    <x v="48"/>
    <s v="CD"/>
    <n v="44.946287624999997"/>
    <n v="678.17343097800006"/>
    <n v="0.67817343097799998"/>
    <n v="15.0885304841236"/>
    <n v="678.17343097800006"/>
    <n v="44.946287624999997"/>
    <s v="Physical"/>
    <s v="CD"/>
    <x v="0"/>
  </r>
  <r>
    <x v="48"/>
    <s v="CD Single"/>
    <n v="1.6920000000000001E-2"/>
    <n v="0.12586175599999999"/>
    <n v="1.2586175599999999E-4"/>
    <n v="7.4386380614657197"/>
    <n v="0.12586175599999999"/>
    <n v="1.6920000000000001E-2"/>
    <s v="Physical"/>
    <s v="CD Single"/>
    <x v="0"/>
  </r>
  <r>
    <x v="48"/>
    <s v="DVD Audio"/>
    <n v="0.289925457"/>
    <n v="6.6664891109999997"/>
    <n v="6.6664891110000003E-3"/>
    <n v="22.993803924572202"/>
    <n v="6.6664891109999997"/>
    <n v="0.289925457"/>
    <s v="Physical"/>
    <s v="DVD Audio"/>
    <x v="0"/>
  </r>
  <r>
    <x v="48"/>
    <s v="Download Album"/>
    <n v="31.083015714999998"/>
    <n v="351.08505782899999"/>
    <n v="0.35108505782900001"/>
    <n v="11.2950770622804"/>
    <n v="351.08505782899999"/>
    <n v="31.083015714999998"/>
    <s v="Other"/>
    <s v="Download Album"/>
    <x v="0"/>
  </r>
  <r>
    <x v="48"/>
    <s v="Download Music Video"/>
    <n v="0.96081700000000003"/>
    <n v="2.2134607910000001"/>
    <n v="2.2134607909999999E-3"/>
    <n v="2.3037277556496099"/>
    <n v="2.2134607910000001"/>
    <n v="0.96081700000000003"/>
    <s v="Other"/>
    <s v="Download Music Video"/>
    <x v="0"/>
  </r>
  <r>
    <x v="48"/>
    <s v="Download Single"/>
    <n v="219.39981445399999"/>
    <n v="311.28450064200001"/>
    <n v="0.31128450064199997"/>
    <n v="1.4188002000669999"/>
    <n v="311.28450064200001"/>
    <n v="219.39981445399999"/>
    <s v="Other"/>
    <s v="Download Single"/>
    <x v="0"/>
  </r>
  <r>
    <x v="48"/>
    <s v="Kiosk"/>
    <n v="0.50087800000000005"/>
    <n v="0.86876088100000004"/>
    <n v="8.6876088100000005E-4"/>
    <n v="1.73447602210518"/>
    <n v="0.86876088100000004"/>
    <n v="0.50087800000000005"/>
    <s v="Other"/>
    <s v="Kiosk"/>
    <x v="0"/>
  </r>
  <r>
    <x v="48"/>
    <s v="LP/EP"/>
    <n v="36.744163465"/>
    <n v="1257.5209529270001"/>
    <n v="1.2575209529269999"/>
    <n v="34.223692536226302"/>
    <n v="1257.5209529270001"/>
    <n v="36.744163465"/>
    <s v="Physical"/>
    <s v="LP/EP"/>
    <x v="0"/>
  </r>
  <r>
    <x v="48"/>
    <s v="Limited Tier Paid Subscription"/>
    <m/>
    <n v="1038.4528723179999"/>
    <n v="1.038452872318"/>
    <m/>
    <n v="1038.4528723179999"/>
    <m/>
    <s v="Streaming"/>
    <s v="Streaming"/>
    <x v="1"/>
  </r>
  <r>
    <x v="48"/>
    <s v="Music Video (Physical)"/>
    <n v="1.3114353329999999"/>
    <n v="23.036499451000001"/>
    <n v="2.3036499451E-2"/>
    <n v="17.565867619490099"/>
    <n v="23.036499451000001"/>
    <n v="1.3114353329999999"/>
    <s v="Physical"/>
    <s v="Music Video (Physical)"/>
    <x v="0"/>
  </r>
  <r>
    <x v="48"/>
    <s v="On-Demand Streaming (Ad-Supported)"/>
    <m/>
    <n v="2006.6803758359999"/>
    <n v="2.0066803758359999"/>
    <m/>
    <n v="2006.6803758359999"/>
    <m/>
    <s v="Streaming"/>
    <s v="Streaming"/>
    <x v="2"/>
  </r>
  <r>
    <x v="48"/>
    <s v="Other Ad-Supported Streaming"/>
    <m/>
    <n v="235.58109197600001"/>
    <n v="0.235581091976"/>
    <m/>
    <n v="235.58109197600001"/>
    <m/>
    <s v="Streaming"/>
    <s v="Streaming"/>
    <x v="2"/>
  </r>
  <r>
    <x v="48"/>
    <s v="Other Digital"/>
    <m/>
    <n v="36.007788083000001"/>
    <n v="3.6007788083000002E-2"/>
    <m/>
    <n v="36.007788083000001"/>
    <m/>
    <s v="Other"/>
    <s v="Other Digital"/>
    <x v="0"/>
  </r>
  <r>
    <x v="48"/>
    <s v="Paid Subscription"/>
    <m/>
    <n v="9912.7769364640008"/>
    <n v="9.9127769364640006"/>
    <m/>
    <n v="9912.7769364640008"/>
    <m/>
    <s v="Streaming"/>
    <s v="Streaming"/>
    <x v="1"/>
  </r>
  <r>
    <x v="48"/>
    <s v="Ringtones &amp; Ringbacks"/>
    <n v="6.2907999999999999"/>
    <n v="18.133569603000002"/>
    <n v="1.8133569602999999E-2"/>
    <n v="2.8825538251096798"/>
    <n v="18.133569603000002"/>
    <n v="6.2907999999999999"/>
    <s v="Other"/>
    <s v="Ringtones &amp; Ringbacks"/>
    <x v="0"/>
  </r>
  <r>
    <x v="48"/>
    <s v="SACD"/>
    <n v="1.0251E-2"/>
    <n v="0.24448108199999999"/>
    <n v="2.44481082E-4"/>
    <n v="23.849486098917101"/>
    <n v="0.24448108199999999"/>
    <n v="1.0251E-2"/>
    <s v="Physical"/>
    <s v="SACD"/>
    <x v="0"/>
  </r>
  <r>
    <x v="48"/>
    <s v="SoundExchange Distributions"/>
    <m/>
    <n v="1148.9697475739999"/>
    <n v="1.1489697475739999"/>
    <m/>
    <n v="1148.9697475739999"/>
    <m/>
    <s v="Other"/>
    <s v="SoundExchange Distributions"/>
    <x v="0"/>
  </r>
  <r>
    <x v="48"/>
    <s v="Synchronization"/>
    <m/>
    <n v="354.85066582299999"/>
    <n v="0.35485066582300001"/>
    <m/>
    <n v="354.85066582299999"/>
    <m/>
    <s v="Other"/>
    <s v="Synchronization"/>
    <x v="0"/>
  </r>
  <r>
    <x v="48"/>
    <s v="Vinyl Single"/>
    <n v="0.47872147100000001"/>
    <n v="9.1439862099999996"/>
    <n v="9.1439862099999998E-3"/>
    <n v="19.100848330239099"/>
    <n v="9.1439862099999996"/>
    <n v="0.47872147100000001"/>
    <s v="Physical"/>
    <s v="Vinyl Single"/>
    <x v="0"/>
  </r>
  <r>
    <x v="49"/>
    <s v="CD"/>
    <n v="37.701479085000003"/>
    <n v="517.26249783399999"/>
    <n v="0.51726249783400002"/>
    <n v="13.7199523835073"/>
    <n v="517.26249783399999"/>
    <n v="37.701479085000003"/>
    <s v="Physical"/>
    <s v="CD"/>
    <x v="0"/>
  </r>
  <r>
    <x v="49"/>
    <s v="CD Single"/>
    <n v="0.396157333"/>
    <n v="7.3081860599999997"/>
    <n v="7.3081860600000001E-3"/>
    <n v="18.4476859349212"/>
    <n v="7.3081860599999997"/>
    <n v="0.396157333"/>
    <s v="Physical"/>
    <s v="CD Single"/>
    <x v="0"/>
  </r>
  <r>
    <x v="49"/>
    <s v="DVD Audio"/>
    <n v="2.3760000000000001E-3"/>
    <n v="7.8436745000000002E-2"/>
    <n v="7.8436744999999997E-5"/>
    <n v="33.012098063972999"/>
    <n v="7.8436745000000002E-2"/>
    <n v="2.3760000000000001E-3"/>
    <s v="Physical"/>
    <s v="DVD Audio"/>
    <x v="0"/>
  </r>
  <r>
    <x v="49"/>
    <s v="Download Album"/>
    <n v="24.462240795"/>
    <n v="259.24820694099998"/>
    <n v="0.25924820694099998"/>
    <n v="10.5978928550972"/>
    <n v="259.24820694099998"/>
    <n v="24.462240795"/>
    <s v="Other"/>
    <s v="Download Album"/>
    <x v="0"/>
  </r>
  <r>
    <x v="49"/>
    <s v="Download Music Video"/>
    <n v="0.67483499999999996"/>
    <n v="1.439441491"/>
    <n v="1.4394414910000001E-3"/>
    <n v="2.1330273192706302"/>
    <n v="1.439441491"/>
    <n v="0.67483499999999996"/>
    <s v="Other"/>
    <s v="Download Music Video"/>
    <x v="0"/>
  </r>
  <r>
    <x v="49"/>
    <s v="Download Single"/>
    <n v="172.46174731599999"/>
    <n v="229.53286934600001"/>
    <n v="0.22953286934600001"/>
    <n v="1.3309204673974899"/>
    <n v="229.53286934600001"/>
    <n v="172.46174731599999"/>
    <s v="Other"/>
    <s v="Download Single"/>
    <x v="0"/>
  </r>
  <r>
    <x v="49"/>
    <s v="Kiosk"/>
    <n v="0.29915900000000001"/>
    <n v="0.42457106999999999"/>
    <n v="4.2457106999999999E-4"/>
    <n v="1.41921543393312"/>
    <n v="0.42457106999999999"/>
    <n v="0.29915900000000001"/>
    <s v="Other"/>
    <s v="Kiosk"/>
    <x v="0"/>
  </r>
  <r>
    <x v="49"/>
    <s v="LP/EP"/>
    <n v="40.544984720999999"/>
    <n v="1312.3857839699999"/>
    <n v="1.3123857839699999"/>
    <n v="32.368634320640297"/>
    <n v="1312.3857839699999"/>
    <n v="40.544984720999999"/>
    <s v="Physical"/>
    <s v="LP/EP"/>
    <x v="0"/>
  </r>
  <r>
    <x v="49"/>
    <s v="Limited Tier Paid Subscription"/>
    <m/>
    <n v="1139.4139181549999"/>
    <n v="1.139413918155"/>
    <m/>
    <n v="1139.4139181549999"/>
    <m/>
    <s v="Streaming"/>
    <s v="Streaming"/>
    <x v="1"/>
  </r>
  <r>
    <x v="49"/>
    <s v="Music Video (Physical)"/>
    <n v="0.82985200000000003"/>
    <n v="12.144307790999999"/>
    <n v="1.2144307791E-2"/>
    <n v="14.634305624376299"/>
    <n v="12.144307790999999"/>
    <n v="0.82985200000000003"/>
    <s v="Physical"/>
    <s v="Music Video (Physical)"/>
    <x v="0"/>
  </r>
  <r>
    <x v="49"/>
    <s v="On-Demand Streaming (Ad-Supported)"/>
    <m/>
    <n v="1953.0968418949999"/>
    <n v="1.9530968418949901"/>
    <m/>
    <n v="1953.0968418949999"/>
    <m/>
    <s v="Streaming"/>
    <s v="Streaming"/>
    <x v="2"/>
  </r>
  <r>
    <x v="49"/>
    <s v="Other Ad-Supported Streaming"/>
    <m/>
    <n v="280.27633527900002"/>
    <n v="0.28027633527899998"/>
    <m/>
    <n v="280.27633527900002"/>
    <m/>
    <s v="Streaming"/>
    <s v="Streaming"/>
    <x v="2"/>
  </r>
  <r>
    <x v="49"/>
    <s v="Other Digital"/>
    <m/>
    <n v="27.777174616"/>
    <n v="2.7777174615999999E-2"/>
    <m/>
    <n v="27.777174616"/>
    <m/>
    <s v="Other"/>
    <s v="Other Digital"/>
    <x v="0"/>
  </r>
  <r>
    <x v="49"/>
    <s v="Paid Subscription"/>
    <m/>
    <n v="9838.738526481"/>
    <n v="9.8387385264810003"/>
    <m/>
    <n v="9838.738526481"/>
    <m/>
    <s v="Streaming"/>
    <s v="Streaming"/>
    <x v="1"/>
  </r>
  <r>
    <x v="49"/>
    <s v="Ringtones &amp; Ringbacks"/>
    <n v="4.4242188889999996"/>
    <n v="11.808080195000001"/>
    <n v="1.1808080195000001E-2"/>
    <n v="2.6689638309620198"/>
    <n v="11.808080195000001"/>
    <n v="4.4242188889999996"/>
    <s v="Other"/>
    <s v="Ringtones &amp; Ringbacks"/>
    <x v="0"/>
  </r>
  <r>
    <x v="49"/>
    <s v="SACD"/>
    <n v="9.7330000000000003E-3"/>
    <n v="0.20760894199999999"/>
    <n v="2.07608942E-4"/>
    <n v="21.3304163156272"/>
    <n v="0.20760894199999999"/>
    <n v="9.7330000000000003E-3"/>
    <s v="Physical"/>
    <s v="SACD"/>
    <x v="0"/>
  </r>
  <r>
    <x v="49"/>
    <s v="SoundExchange Distributions"/>
    <m/>
    <n v="1028.3549797539999"/>
    <n v="1.0283549797539999"/>
    <m/>
    <n v="1028.3549797539999"/>
    <m/>
    <s v="Other"/>
    <s v="SoundExchange Distributions"/>
    <x v="0"/>
  </r>
  <r>
    <x v="49"/>
    <s v="Synchronization"/>
    <m/>
    <n v="409.992204711"/>
    <n v="0.40999220471100001"/>
    <m/>
    <n v="409.992204711"/>
    <m/>
    <s v="Other"/>
    <s v="Synchronization"/>
    <x v="0"/>
  </r>
  <r>
    <x v="49"/>
    <s v="Vinyl Single"/>
    <n v="0.32080033299999999"/>
    <n v="6.0182012709999997"/>
    <n v="6.0182012710000002E-3"/>
    <n v="18.7599595509148"/>
    <n v="6.0182012709999997"/>
    <n v="0.32080033299999999"/>
    <s v="Physical"/>
    <s v="Vinyl Single"/>
    <x v="0"/>
  </r>
  <r>
    <x v="50"/>
    <s v="CD"/>
    <n v="32.441244744000002"/>
    <n v="552.930765006"/>
    <n v="0.55293076500600002"/>
    <n v="17.0440674939966"/>
    <n v="552.930765006"/>
    <n v="32.441244744000002"/>
    <s v="Physical"/>
    <s v="CD"/>
    <x v="0"/>
  </r>
  <r>
    <x v="50"/>
    <s v="Download Album"/>
    <n v="20.483589469000002"/>
    <n v="210.91628494700001"/>
    <n v="0.21091628494699999"/>
    <n v="10.296842028893501"/>
    <n v="210.91628494700001"/>
    <n v="20.483589469000002"/>
    <s v="Other"/>
    <s v="Download Album"/>
    <x v="0"/>
  </r>
  <r>
    <x v="50"/>
    <s v="Download Single"/>
    <n v="150.667660281"/>
    <n v="196.41257821100001"/>
    <n v="0.196412578211"/>
    <n v="1.3036147096509201"/>
    <n v="196.41257821100001"/>
    <n v="150.667660281"/>
    <s v="Other"/>
    <s v="Download Single"/>
    <x v="0"/>
  </r>
  <r>
    <x v="50"/>
    <s v="LP/EP"/>
    <n v="43.217545981000001"/>
    <n v="1389.982072969"/>
    <n v="1.389982072969"/>
    <n v="32.162447946028301"/>
    <n v="1389.982072969"/>
    <n v="43.217545981000001"/>
    <s v="Physical"/>
    <s v="LP/EP"/>
    <x v="0"/>
  </r>
  <r>
    <x v="50"/>
    <s v="Limited Tier Paid Subscription"/>
    <m/>
    <n v="1051.5424898419999"/>
    <n v="1.0515424898419901"/>
    <m/>
    <n v="1051.5424898419999"/>
    <m/>
    <s v="Streaming"/>
    <s v="Streaming"/>
    <x v="1"/>
  </r>
  <r>
    <x v="50"/>
    <s v="Music Video (Physical)"/>
    <n v="0.61285199999999995"/>
    <n v="11.003906488"/>
    <n v="1.1003906488000001E-2"/>
    <n v="17.9552428449283"/>
    <n v="11.003906488"/>
    <n v="0.61285199999999995"/>
    <s v="Physical"/>
    <s v="Music Video (Physical)"/>
    <x v="0"/>
  </r>
  <r>
    <x v="50"/>
    <s v="On-Demand Streaming (Ad-Supported)"/>
    <m/>
    <n v="1919.5277993679999"/>
    <n v="1.919527799368"/>
    <m/>
    <n v="1919.5277993679999"/>
    <m/>
    <s v="Streaming"/>
    <s v="Streaming"/>
    <x v="2"/>
  </r>
  <r>
    <x v="50"/>
    <s v="Other Ad-Supported Streaming"/>
    <m/>
    <n v="327.04745620900002"/>
    <n v="0.327047456209"/>
    <m/>
    <n v="327.04745620900002"/>
    <m/>
    <s v="Streaming"/>
    <s v="Streaming"/>
    <x v="2"/>
  </r>
  <r>
    <x v="50"/>
    <s v="Other Digital"/>
    <m/>
    <n v="28.931254766999999"/>
    <n v="2.8931254766999901E-2"/>
    <m/>
    <n v="28.931254766999999"/>
    <m/>
    <s v="Other"/>
    <s v="Other Digital"/>
    <x v="0"/>
  </r>
  <r>
    <x v="50"/>
    <s v="Other Physical"/>
    <n v="0.45943600000000001"/>
    <n v="5.8318247699999999"/>
    <n v="5.8318247699999997E-3"/>
    <n v="12.6934431999233"/>
    <n v="5.8318247699999999"/>
    <n v="0.45943600000000001"/>
    <s v="Physical"/>
    <s v="Other Physical"/>
    <x v="0"/>
  </r>
  <r>
    <x v="50"/>
    <s v="Paid Subscription"/>
    <m/>
    <n v="10449.038367970999"/>
    <n v="10.449038367970999"/>
    <m/>
    <n v="10449.038367970999"/>
    <m/>
    <s v="Streaming"/>
    <s v="Streaming"/>
    <x v="1"/>
  </r>
  <r>
    <x v="50"/>
    <s v="Ringtones &amp; Ringbacks"/>
    <n v="4.0811724060000003"/>
    <n v="10.845680328"/>
    <n v="1.0845680328E-2"/>
    <n v="2.6574913404920202"/>
    <n v="10.845680328"/>
    <n v="4.0811724060000003"/>
    <s v="Other"/>
    <s v="Ringtones &amp; Ringbacks"/>
    <x v="0"/>
  </r>
  <r>
    <x v="50"/>
    <s v="SoundExchange Distributions"/>
    <m/>
    <n v="1034.435964319"/>
    <n v="1.034435964319"/>
    <m/>
    <n v="1034.435964319"/>
    <m/>
    <s v="Other"/>
    <s v="SoundExchange Distributions"/>
    <x v="0"/>
  </r>
  <r>
    <x v="50"/>
    <s v="Synchronization"/>
    <m/>
    <n v="414.33066883499998"/>
    <n v="0.41433066883499903"/>
    <m/>
    <n v="414.33066883499998"/>
    <m/>
    <s v="Other"/>
    <s v="Synchronization"/>
    <x v="0"/>
  </r>
  <r>
    <x v="50"/>
    <s v="Vinyl Single"/>
    <n v="0.394688235"/>
    <n v="8.6152724379999999"/>
    <n v="8.6152724379999993E-3"/>
    <n v="21.828044704702101"/>
    <n v="8.6152724379999999"/>
    <n v="0.394688235"/>
    <s v="Physical"/>
    <s v="Vinyl Single"/>
    <x v="0"/>
  </r>
  <r>
    <x v="51"/>
    <s v="CD"/>
    <n v="32.937028845999997"/>
    <n v="541.10120400300002"/>
    <n v="0.54110120400299999"/>
    <n v="16.4283550448028"/>
    <n v="541.10120400300002"/>
    <n v="32.937028845999997"/>
    <s v="Physical"/>
    <s v="CD"/>
    <x v="0"/>
  </r>
  <r>
    <x v="51"/>
    <s v="Download Album"/>
    <n v="16.849168872"/>
    <n v="166.69182327199999"/>
    <n v="0.16669182327199999"/>
    <n v="9.8931777904492897"/>
    <n v="166.69182327199999"/>
    <n v="16.849168872"/>
    <s v="Other"/>
    <s v="Download Album"/>
    <x v="0"/>
  </r>
  <r>
    <x v="51"/>
    <s v="Download Single"/>
    <n v="122.08211057600001"/>
    <n v="162.37989908899999"/>
    <n v="0.162379899089"/>
    <n v="1.33008758058711"/>
    <n v="162.37989908899999"/>
    <n v="122.08211057600001"/>
    <s v="Other"/>
    <s v="Download Single"/>
    <x v="0"/>
  </r>
  <r>
    <x v="51"/>
    <s v="LP/EP"/>
    <n v="43.634936840000002"/>
    <n v="1442.9031221339999"/>
    <n v="1.4429031221339901"/>
    <n v="33.067611107696003"/>
    <n v="1442.9031221339999"/>
    <n v="43.634936840000002"/>
    <s v="Physical"/>
    <s v="LP/EP"/>
    <x v="0"/>
  </r>
  <r>
    <x v="51"/>
    <s v="Limited Tier Paid Subscription"/>
    <m/>
    <n v="998.32862002900004"/>
    <n v="0.99832862002900002"/>
    <m/>
    <n v="998.32862002900004"/>
    <m/>
    <s v="Streaming"/>
    <s v="Streaming"/>
    <x v="1"/>
  </r>
  <r>
    <x v="51"/>
    <s v="Music Video (Physical)"/>
    <n v="0.41342933300000001"/>
    <n v="8.8578969329999993"/>
    <n v="8.8578969329999903E-3"/>
    <n v="21.4254195964368"/>
    <n v="8.8578969329999993"/>
    <n v="0.41342933300000001"/>
    <s v="Physical"/>
    <s v="Music Video (Physical)"/>
    <x v="0"/>
  </r>
  <r>
    <x v="51"/>
    <s v="On-Demand Streaming (Ad-Supported)"/>
    <m/>
    <n v="1831.879377215"/>
    <n v="1.8318793772149999"/>
    <m/>
    <n v="1831.879377215"/>
    <m/>
    <s v="Streaming"/>
    <s v="Streaming"/>
    <x v="2"/>
  </r>
  <r>
    <x v="51"/>
    <s v="Other Ad-Supported Streaming"/>
    <m/>
    <n v="306.49236527900001"/>
    <n v="0.30649236527899998"/>
    <m/>
    <n v="306.49236527900001"/>
    <m/>
    <s v="Streaming"/>
    <s v="Streaming"/>
    <x v="2"/>
  </r>
  <r>
    <x v="51"/>
    <s v="Other Digital"/>
    <m/>
    <n v="35.091384482999999"/>
    <n v="3.5091384482999997E-2"/>
    <m/>
    <n v="35.091384482999999"/>
    <m/>
    <s v="Other"/>
    <s v="Other Digital"/>
    <x v="0"/>
  </r>
  <r>
    <x v="51"/>
    <s v="Other Physical"/>
    <n v="1.2076066670000001"/>
    <n v="12.52022296"/>
    <n v="1.2520222960000001E-2"/>
    <n v="10.367798805801"/>
    <n v="12.52022296"/>
    <n v="1.2076066670000001"/>
    <s v="Physical"/>
    <s v="Other Physical"/>
    <x v="0"/>
  </r>
  <r>
    <x v="51"/>
    <s v="Paid Subscription"/>
    <m/>
    <n v="10686.986036797"/>
    <n v="10.686986036797"/>
    <m/>
    <n v="10686.986036797"/>
    <m/>
    <s v="Streaming"/>
    <s v="Streaming"/>
    <x v="1"/>
  </r>
  <r>
    <x v="51"/>
    <s v="Ringtones &amp; Ringbacks"/>
    <n v="2.229827378"/>
    <n v="5.552270171"/>
    <n v="5.5522701710000004E-3"/>
    <n v="2.4899999999013298"/>
    <n v="5.552270171"/>
    <n v="2.229827378"/>
    <s v="Other"/>
    <s v="Ringtones &amp; Ringbacks"/>
    <x v="0"/>
  </r>
  <r>
    <x v="51"/>
    <s v="SoundExchange Distributions"/>
    <m/>
    <n v="1054"/>
    <n v="1.054"/>
    <m/>
    <n v="1054"/>
    <m/>
    <s v="Other"/>
    <s v="SoundExchange Distributions"/>
    <x v="0"/>
  </r>
  <r>
    <x v="51"/>
    <s v="Synchronization"/>
    <m/>
    <n v="412.63272553299998"/>
    <n v="0.41263272553300001"/>
    <m/>
    <n v="412.63272553299998"/>
    <m/>
    <s v="Other"/>
    <s v="Synchronization"/>
    <x v="0"/>
  </r>
  <r>
    <x v="51"/>
    <s v="Vinyl Single"/>
    <n v="0.54370700000000005"/>
    <n v="9.1568232569999992"/>
    <n v="9.1568232569999904E-3"/>
    <n v="16.841466556435702"/>
    <n v="9.1568232569999992"/>
    <n v="0.54370700000000005"/>
    <s v="Physical"/>
    <s v="Vinyl Single"/>
    <x v="0"/>
  </r>
  <r>
    <x v="52"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D1A9E-3708-40C8-B995-E6B755905846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D9" firstHeaderRow="1" firstDataRow="2" firstDataCol="1"/>
  <pivotFields count="11">
    <pivotField showAll="0"/>
    <pivotField axis="axisCol" showAll="0" sortType="descending">
      <items count="54">
        <item h="1" x="52"/>
        <item x="51"/>
        <item h="1" x="50"/>
        <item h="1" x="49"/>
        <item h="1" x="48"/>
        <item h="1" x="47"/>
        <item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5">
        <item h="1" x="0"/>
        <item h="1" x="1"/>
        <item h="1" x="6"/>
        <item x="5"/>
        <item h="1" x="7"/>
        <item h="1" x="11"/>
        <item h="1" x="14"/>
        <item h="1" x="12"/>
        <item h="1" x="9"/>
        <item h="1" x="15"/>
        <item h="1" m="1" x="23"/>
        <item x="2"/>
        <item h="1" x="8"/>
        <item h="1" x="19"/>
        <item h="1" x="20"/>
        <item h="1" x="3"/>
        <item h="1" m="1" x="22"/>
        <item h="1" x="17"/>
        <item h="1" x="10"/>
        <item h="1" x="13"/>
        <item x="16"/>
        <item h="1" x="18"/>
        <item h="1" x="4"/>
        <item h="1" x="21"/>
        <item t="default"/>
      </items>
    </pivotField>
  </pivotFields>
  <rowFields count="1">
    <field x="10"/>
  </rowFields>
  <rowItems count="4">
    <i>
      <x v="3"/>
    </i>
    <i>
      <x v="11"/>
    </i>
    <i>
      <x v="20"/>
    </i>
    <i t="grand">
      <x/>
    </i>
  </rowItems>
  <colFields count="1">
    <field x="1"/>
  </colFields>
  <colItems count="3">
    <i>
      <x v="1"/>
    </i>
    <i>
      <x v="6"/>
    </i>
    <i t="grand">
      <x/>
    </i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A84A3-94BA-482A-9442-73FB51715E12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1" firstDataRow="2" firstDataCol="1"/>
  <pivotFields count="11">
    <pivotField axis="axisCol" showAll="0">
      <items count="5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x="51"/>
        <item h="1" x="5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0"/>
  </colFields>
  <colItems count="2">
    <i>
      <x v="51"/>
    </i>
    <i t="grand">
      <x/>
    </i>
  </colItems>
  <dataFields count="1">
    <dataField name="Sum of Revenue(M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D961-86EA-40F3-A105-7A2D75877044}">
  <dimension ref="A4:I9"/>
  <sheetViews>
    <sheetView workbookViewId="0">
      <selection activeCell="B23" sqref="B23"/>
    </sheetView>
  </sheetViews>
  <sheetFormatPr defaultRowHeight="14.4" x14ac:dyDescent="0.3"/>
  <cols>
    <col min="1" max="1" width="14.109375" bestFit="1" customWidth="1"/>
    <col min="2" max="2" width="15.5546875" bestFit="1" customWidth="1"/>
    <col min="3" max="7" width="12" bestFit="1" customWidth="1"/>
    <col min="8" max="8" width="9" bestFit="1" customWidth="1"/>
    <col min="9" max="10" width="12" bestFit="1" customWidth="1"/>
    <col min="11" max="11" width="11" bestFit="1" customWidth="1"/>
    <col min="12" max="54" width="12" bestFit="1" customWidth="1"/>
  </cols>
  <sheetData>
    <row r="4" spans="1:9" x14ac:dyDescent="0.3">
      <c r="A4" s="2" t="s">
        <v>40</v>
      </c>
      <c r="B4" s="2" t="s">
        <v>37</v>
      </c>
      <c r="F4" s="3"/>
      <c r="G4" s="3">
        <v>2024</v>
      </c>
      <c r="H4" s="3">
        <v>2019</v>
      </c>
    </row>
    <row r="5" spans="1:9" x14ac:dyDescent="0.3">
      <c r="A5" s="2" t="s">
        <v>41</v>
      </c>
      <c r="B5">
        <v>2024</v>
      </c>
      <c r="C5">
        <v>2019</v>
      </c>
      <c r="D5" t="s">
        <v>39</v>
      </c>
      <c r="F5" s="5" t="s">
        <v>16</v>
      </c>
      <c r="G5" s="4">
        <v>541.10120400300002</v>
      </c>
      <c r="H5" s="4">
        <v>781.16979160699998</v>
      </c>
      <c r="I5">
        <f>(G5-H5)/H5</f>
        <v>-0.30731934360920149</v>
      </c>
    </row>
    <row r="6" spans="1:9" x14ac:dyDescent="0.3">
      <c r="A6" s="5" t="s">
        <v>16</v>
      </c>
      <c r="B6" s="4">
        <v>541.10120400300002</v>
      </c>
      <c r="C6" s="4">
        <v>781.16979160699998</v>
      </c>
      <c r="D6" s="4">
        <v>1322.27099561</v>
      </c>
      <c r="F6" s="5" t="s">
        <v>13</v>
      </c>
      <c r="G6" s="4">
        <v>1442.9031221339999</v>
      </c>
      <c r="H6" s="4">
        <v>632.48028503800003</v>
      </c>
      <c r="I6">
        <f t="shared" ref="I6:I7" si="0">(G6-H6)/H6</f>
        <v>1.2813408674822313</v>
      </c>
    </row>
    <row r="7" spans="1:9" x14ac:dyDescent="0.3">
      <c r="A7" s="5" t="s">
        <v>13</v>
      </c>
      <c r="B7" s="4">
        <v>1442.9031221339999</v>
      </c>
      <c r="C7" s="4">
        <v>632.48028503800003</v>
      </c>
      <c r="D7" s="4">
        <v>2075.3834071719998</v>
      </c>
      <c r="F7" s="5" t="s">
        <v>43</v>
      </c>
      <c r="G7" s="4">
        <v>13823.68639932</v>
      </c>
      <c r="H7" s="4">
        <v>9720.9624589110008</v>
      </c>
      <c r="I7">
        <f t="shared" si="0"/>
        <v>0.42204914973703239</v>
      </c>
    </row>
    <row r="8" spans="1:9" x14ac:dyDescent="0.3">
      <c r="A8" s="5" t="s">
        <v>29</v>
      </c>
      <c r="B8" s="4">
        <v>13823.68639932</v>
      </c>
      <c r="C8" s="4">
        <v>9720.9624589110008</v>
      </c>
      <c r="D8" s="4">
        <v>23544.648858231001</v>
      </c>
    </row>
    <row r="9" spans="1:9" x14ac:dyDescent="0.3">
      <c r="A9" s="5" t="s">
        <v>39</v>
      </c>
      <c r="B9" s="4">
        <v>15807.690725457</v>
      </c>
      <c r="C9" s="4">
        <v>11134.612535556</v>
      </c>
      <c r="D9" s="4">
        <v>26942.303261013003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1393-93E2-44D3-ADB0-7B28E8D630DD}">
  <dimension ref="A3:H14"/>
  <sheetViews>
    <sheetView tabSelected="1" workbookViewId="0">
      <selection activeCell="F11" sqref="F11:G14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4" width="12" bestFit="1" customWidth="1"/>
    <col min="5" max="5" width="14.33203125" customWidth="1"/>
    <col min="6" max="6" width="18.44140625" style="6" customWidth="1"/>
    <col min="7" max="19" width="12" bestFit="1" customWidth="1"/>
    <col min="20" max="20" width="10" bestFit="1" customWidth="1"/>
    <col min="21" max="21" width="12" bestFit="1" customWidth="1"/>
    <col min="22" max="23" width="11" bestFit="1" customWidth="1"/>
    <col min="24" max="53" width="12" bestFit="1" customWidth="1"/>
    <col min="54" max="54" width="7" bestFit="1" customWidth="1"/>
    <col min="55" max="55" width="12" bestFit="1" customWidth="1"/>
  </cols>
  <sheetData>
    <row r="3" spans="1:8" x14ac:dyDescent="0.3">
      <c r="A3" s="2" t="s">
        <v>46</v>
      </c>
      <c r="B3" s="2" t="s">
        <v>37</v>
      </c>
    </row>
    <row r="4" spans="1:8" x14ac:dyDescent="0.3">
      <c r="A4" s="2" t="s">
        <v>41</v>
      </c>
      <c r="B4">
        <v>2024</v>
      </c>
      <c r="C4" t="s">
        <v>39</v>
      </c>
    </row>
    <row r="5" spans="1:8" x14ac:dyDescent="0.3">
      <c r="A5" s="5" t="s">
        <v>45</v>
      </c>
      <c r="B5" s="4">
        <v>2138.371742494</v>
      </c>
      <c r="C5" s="4">
        <v>2138.371742494</v>
      </c>
      <c r="E5" s="5" t="s">
        <v>45</v>
      </c>
      <c r="F5" s="6">
        <v>2138.371742494</v>
      </c>
      <c r="G5" s="6">
        <f>F5</f>
        <v>2138.371742494</v>
      </c>
    </row>
    <row r="6" spans="1:8" x14ac:dyDescent="0.3">
      <c r="A6" s="5" t="s">
        <v>28</v>
      </c>
      <c r="B6" s="4">
        <v>11685.314656826</v>
      </c>
      <c r="C6" s="4">
        <v>11685.314656826</v>
      </c>
      <c r="E6" s="5" t="s">
        <v>28</v>
      </c>
      <c r="F6" s="6">
        <v>11685.314656826</v>
      </c>
      <c r="G6" s="7">
        <f>F6/9</f>
        <v>1298.3682952028889</v>
      </c>
    </row>
    <row r="7" spans="1:8" x14ac:dyDescent="0.3">
      <c r="A7" s="5" t="s">
        <v>38</v>
      </c>
      <c r="B7" s="4">
        <v>3850.8873718349996</v>
      </c>
      <c r="C7" s="4">
        <v>3850.8873718349996</v>
      </c>
    </row>
    <row r="8" spans="1:8" x14ac:dyDescent="0.3">
      <c r="A8" s="5" t="s">
        <v>39</v>
      </c>
      <c r="B8" s="4">
        <v>17674.573771154999</v>
      </c>
      <c r="C8" s="4">
        <v>17674.573771154999</v>
      </c>
      <c r="G8" s="7">
        <f>G5*0.9</f>
        <v>1924.5345682446</v>
      </c>
    </row>
    <row r="9" spans="1:8" x14ac:dyDescent="0.3">
      <c r="G9" s="7">
        <f>G6*1.1</f>
        <v>1428.205124723178</v>
      </c>
      <c r="H9" s="7">
        <f>9*G9</f>
        <v>12853.846122508601</v>
      </c>
    </row>
    <row r="11" spans="1:8" x14ac:dyDescent="0.3">
      <c r="F11" s="8" t="s">
        <v>47</v>
      </c>
      <c r="G11" s="8">
        <f>SUM(F5:F6)</f>
        <v>13823.68639932</v>
      </c>
    </row>
    <row r="12" spans="1:8" x14ac:dyDescent="0.3">
      <c r="F12" s="8" t="s">
        <v>48</v>
      </c>
      <c r="G12" s="8">
        <f>SUM(G8,H9)</f>
        <v>14778.380690753202</v>
      </c>
    </row>
    <row r="13" spans="1:8" x14ac:dyDescent="0.3">
      <c r="F13" s="8"/>
      <c r="G13" s="9"/>
    </row>
    <row r="14" spans="1:8" x14ac:dyDescent="0.3">
      <c r="F14" s="8" t="s">
        <v>49</v>
      </c>
      <c r="G14" s="8">
        <f>G12-G11</f>
        <v>954.69429143320122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0172-24F6-4DC6-BB14-A19AB811ECD6}">
  <dimension ref="A1:M524"/>
  <sheetViews>
    <sheetView workbookViewId="0">
      <selection activeCell="M9" sqref="M9"/>
    </sheetView>
  </sheetViews>
  <sheetFormatPr defaultRowHeight="14.4" x14ac:dyDescent="0.3"/>
  <cols>
    <col min="4" max="4" width="32.21875" bestFit="1" customWidth="1"/>
    <col min="12" max="12" width="12.5546875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42</v>
      </c>
      <c r="M1" t="s">
        <v>44</v>
      </c>
    </row>
    <row r="2" spans="1:13" x14ac:dyDescent="0.3">
      <c r="A2">
        <v>0</v>
      </c>
      <c r="B2">
        <v>0</v>
      </c>
      <c r="C2">
        <v>1973</v>
      </c>
      <c r="D2" t="s">
        <v>10</v>
      </c>
      <c r="E2">
        <v>91</v>
      </c>
      <c r="F2">
        <v>3454.8180405409998</v>
      </c>
      <c r="G2">
        <v>3.4548180405409998</v>
      </c>
      <c r="H2">
        <v>37.965033412538403</v>
      </c>
      <c r="I2">
        <v>3454.8180405409998</v>
      </c>
      <c r="J2">
        <v>91</v>
      </c>
      <c r="K2" t="s">
        <v>11</v>
      </c>
      <c r="L2" t="str">
        <f>D2</f>
        <v>8 - Track</v>
      </c>
    </row>
    <row r="3" spans="1:13" x14ac:dyDescent="0.3">
      <c r="A3">
        <v>1</v>
      </c>
      <c r="B3">
        <v>1</v>
      </c>
      <c r="C3">
        <v>1973</v>
      </c>
      <c r="D3" t="s">
        <v>12</v>
      </c>
      <c r="E3">
        <v>15</v>
      </c>
      <c r="F3">
        <v>536.94513513499999</v>
      </c>
      <c r="G3">
        <v>0.53694513513499997</v>
      </c>
      <c r="H3">
        <v>35.796342342333297</v>
      </c>
      <c r="I3">
        <v>536.94513513499999</v>
      </c>
      <c r="J3">
        <v>15</v>
      </c>
      <c r="K3" t="s">
        <v>11</v>
      </c>
      <c r="L3" t="str">
        <f t="shared" ref="L3:L66" si="0">D3</f>
        <v>Cassette</v>
      </c>
    </row>
    <row r="4" spans="1:13" x14ac:dyDescent="0.3">
      <c r="A4">
        <v>2</v>
      </c>
      <c r="B4">
        <v>2</v>
      </c>
      <c r="C4">
        <v>1973</v>
      </c>
      <c r="D4" t="s">
        <v>13</v>
      </c>
      <c r="E4">
        <v>280</v>
      </c>
      <c r="F4">
        <v>8803.0741891889993</v>
      </c>
      <c r="G4">
        <v>8.8030741891889992</v>
      </c>
      <c r="H4">
        <v>31.439550675674901</v>
      </c>
      <c r="I4">
        <v>8803.0741891889993</v>
      </c>
      <c r="J4">
        <v>280</v>
      </c>
      <c r="K4" t="s">
        <v>11</v>
      </c>
      <c r="L4" t="str">
        <f t="shared" si="0"/>
        <v>LP/EP</v>
      </c>
    </row>
    <row r="5" spans="1:13" x14ac:dyDescent="0.3">
      <c r="A5">
        <v>3</v>
      </c>
      <c r="B5">
        <v>3</v>
      </c>
      <c r="C5">
        <v>1973</v>
      </c>
      <c r="D5" t="s">
        <v>14</v>
      </c>
      <c r="E5">
        <v>2.2000000000000002</v>
      </c>
      <c r="F5">
        <v>110.21505405400001</v>
      </c>
      <c r="G5">
        <v>0.11021505405400001</v>
      </c>
      <c r="H5">
        <v>50.097751842727199</v>
      </c>
      <c r="I5">
        <v>110.21505405400001</v>
      </c>
      <c r="J5">
        <v>2.2000000000000002</v>
      </c>
      <c r="K5" t="s">
        <v>11</v>
      </c>
      <c r="L5" t="str">
        <f t="shared" si="0"/>
        <v>Other Tapes</v>
      </c>
    </row>
    <row r="6" spans="1:13" x14ac:dyDescent="0.3">
      <c r="A6">
        <v>4</v>
      </c>
      <c r="B6">
        <v>4</v>
      </c>
      <c r="C6">
        <v>1973</v>
      </c>
      <c r="D6" t="s">
        <v>15</v>
      </c>
      <c r="E6">
        <v>228</v>
      </c>
      <c r="F6">
        <v>1342.3628378379999</v>
      </c>
      <c r="G6">
        <v>1.3423628378379999</v>
      </c>
      <c r="H6">
        <v>5.88755630630701</v>
      </c>
      <c r="I6">
        <v>1342.3628378379999</v>
      </c>
      <c r="J6">
        <v>228</v>
      </c>
      <c r="K6" t="s">
        <v>11</v>
      </c>
      <c r="L6" t="str">
        <f t="shared" si="0"/>
        <v>Vinyl Single</v>
      </c>
    </row>
    <row r="7" spans="1:13" x14ac:dyDescent="0.3">
      <c r="A7">
        <v>5</v>
      </c>
      <c r="B7">
        <v>5</v>
      </c>
      <c r="C7">
        <v>1974</v>
      </c>
      <c r="D7" t="s">
        <v>10</v>
      </c>
      <c r="E7">
        <v>96.7</v>
      </c>
      <c r="F7">
        <v>3494.4827342799999</v>
      </c>
      <c r="G7">
        <v>3.49448273428</v>
      </c>
      <c r="H7">
        <v>36.137360230403303</v>
      </c>
      <c r="I7">
        <v>3494.4827342799999</v>
      </c>
      <c r="J7">
        <v>96.7</v>
      </c>
      <c r="K7" t="s">
        <v>11</v>
      </c>
      <c r="L7" t="str">
        <f t="shared" si="0"/>
        <v>8 - Track</v>
      </c>
    </row>
    <row r="8" spans="1:13" x14ac:dyDescent="0.3">
      <c r="A8">
        <v>6</v>
      </c>
      <c r="B8">
        <v>6</v>
      </c>
      <c r="C8">
        <v>1974</v>
      </c>
      <c r="D8" t="s">
        <v>12</v>
      </c>
      <c r="E8">
        <v>15.3</v>
      </c>
      <c r="F8">
        <v>554.84139553800003</v>
      </c>
      <c r="G8">
        <v>0.55484139553800005</v>
      </c>
      <c r="H8">
        <v>36.264143499215599</v>
      </c>
      <c r="I8">
        <v>554.84139553800003</v>
      </c>
      <c r="J8">
        <v>15.3</v>
      </c>
      <c r="K8" t="s">
        <v>11</v>
      </c>
      <c r="L8" t="str">
        <f t="shared" si="0"/>
        <v>Cassette</v>
      </c>
    </row>
    <row r="9" spans="1:13" x14ac:dyDescent="0.3">
      <c r="A9">
        <v>7</v>
      </c>
      <c r="B9">
        <v>7</v>
      </c>
      <c r="C9">
        <v>1974</v>
      </c>
      <c r="D9" t="s">
        <v>13</v>
      </c>
      <c r="E9">
        <v>276</v>
      </c>
      <c r="F9">
        <v>8628.0382150099995</v>
      </c>
      <c r="G9">
        <v>8.6280382150099992</v>
      </c>
      <c r="H9">
        <v>31.2610080253985</v>
      </c>
      <c r="I9">
        <v>8628.0382150099995</v>
      </c>
      <c r="J9">
        <v>276</v>
      </c>
      <c r="K9" t="s">
        <v>11</v>
      </c>
      <c r="L9" t="str">
        <f t="shared" si="0"/>
        <v>LP/EP</v>
      </c>
    </row>
    <row r="10" spans="1:13" x14ac:dyDescent="0.3">
      <c r="A10">
        <v>8</v>
      </c>
      <c r="B10">
        <v>8</v>
      </c>
      <c r="C10">
        <v>1974</v>
      </c>
      <c r="D10" t="s">
        <v>14</v>
      </c>
      <c r="E10">
        <v>1.9</v>
      </c>
      <c r="F10">
        <v>84.626038539999996</v>
      </c>
      <c r="G10">
        <v>8.4626038540000004E-2</v>
      </c>
      <c r="H10">
        <v>44.540020284210499</v>
      </c>
      <c r="I10">
        <v>84.626038539999996</v>
      </c>
      <c r="J10">
        <v>1.9</v>
      </c>
      <c r="K10" t="s">
        <v>11</v>
      </c>
      <c r="L10" t="str">
        <f t="shared" si="0"/>
        <v>Other Tapes</v>
      </c>
    </row>
    <row r="11" spans="1:13" x14ac:dyDescent="0.3">
      <c r="A11">
        <v>9</v>
      </c>
      <c r="B11">
        <v>9</v>
      </c>
      <c r="C11">
        <v>1974</v>
      </c>
      <c r="D11" t="s">
        <v>15</v>
      </c>
      <c r="E11">
        <v>204</v>
      </c>
      <c r="F11">
        <v>1234.3948478699999</v>
      </c>
      <c r="G11">
        <v>1.23439484787</v>
      </c>
      <c r="H11">
        <v>6.05095513661764</v>
      </c>
      <c r="I11">
        <v>1234.3948478699999</v>
      </c>
      <c r="J11">
        <v>204</v>
      </c>
      <c r="K11" t="s">
        <v>11</v>
      </c>
      <c r="L11" t="str">
        <f t="shared" si="0"/>
        <v>Vinyl Single</v>
      </c>
    </row>
    <row r="12" spans="1:13" x14ac:dyDescent="0.3">
      <c r="A12">
        <v>10</v>
      </c>
      <c r="B12">
        <v>10</v>
      </c>
      <c r="C12">
        <v>1975</v>
      </c>
      <c r="D12" t="s">
        <v>10</v>
      </c>
      <c r="E12">
        <v>94.6</v>
      </c>
      <c r="F12">
        <v>3399.269275093</v>
      </c>
      <c r="G12">
        <v>3.3992692750929998</v>
      </c>
      <c r="H12">
        <v>35.933079017896397</v>
      </c>
      <c r="I12">
        <v>3399.269275093</v>
      </c>
      <c r="J12">
        <v>94.6</v>
      </c>
      <c r="K12" t="s">
        <v>11</v>
      </c>
      <c r="L12" t="str">
        <f t="shared" si="0"/>
        <v>8 - Track</v>
      </c>
    </row>
    <row r="13" spans="1:13" x14ac:dyDescent="0.3">
      <c r="A13">
        <v>11</v>
      </c>
      <c r="B13">
        <v>11</v>
      </c>
      <c r="C13">
        <v>1975</v>
      </c>
      <c r="D13" t="s">
        <v>12</v>
      </c>
      <c r="E13">
        <v>16.2</v>
      </c>
      <c r="F13">
        <v>576.06827509300001</v>
      </c>
      <c r="G13">
        <v>0.57606827509299996</v>
      </c>
      <c r="H13">
        <v>35.559770067469103</v>
      </c>
      <c r="I13">
        <v>576.06827509300001</v>
      </c>
      <c r="J13">
        <v>16.2</v>
      </c>
      <c r="K13" t="s">
        <v>11</v>
      </c>
      <c r="L13" t="str">
        <f t="shared" si="0"/>
        <v>Cassette</v>
      </c>
    </row>
    <row r="14" spans="1:13" x14ac:dyDescent="0.3">
      <c r="A14">
        <v>12</v>
      </c>
      <c r="B14">
        <v>12</v>
      </c>
      <c r="C14">
        <v>1975</v>
      </c>
      <c r="D14" t="s">
        <v>13</v>
      </c>
      <c r="E14">
        <v>257</v>
      </c>
      <c r="F14">
        <v>8658.5160780669994</v>
      </c>
      <c r="G14">
        <v>8.6585160780669899</v>
      </c>
      <c r="H14">
        <v>33.690724039171201</v>
      </c>
      <c r="I14">
        <v>8658.5160780669994</v>
      </c>
      <c r="J14">
        <v>257</v>
      </c>
      <c r="K14" t="s">
        <v>11</v>
      </c>
      <c r="L14" t="str">
        <f t="shared" si="0"/>
        <v>LP/EP</v>
      </c>
    </row>
    <row r="15" spans="1:13" x14ac:dyDescent="0.3">
      <c r="A15">
        <v>13</v>
      </c>
      <c r="B15">
        <v>13</v>
      </c>
      <c r="C15">
        <v>1975</v>
      </c>
      <c r="D15" t="s">
        <v>14</v>
      </c>
      <c r="E15">
        <v>1.5</v>
      </c>
      <c r="F15">
        <v>59.472635687999997</v>
      </c>
      <c r="G15">
        <v>5.9472635688E-2</v>
      </c>
      <c r="H15">
        <v>39.648423791999903</v>
      </c>
      <c r="I15">
        <v>59.472635687999997</v>
      </c>
      <c r="J15">
        <v>1.5</v>
      </c>
      <c r="K15" t="s">
        <v>11</v>
      </c>
      <c r="L15" t="str">
        <f t="shared" si="0"/>
        <v>Other Tapes</v>
      </c>
    </row>
    <row r="16" spans="1:13" x14ac:dyDescent="0.3">
      <c r="A16">
        <v>14</v>
      </c>
      <c r="B16">
        <v>14</v>
      </c>
      <c r="C16">
        <v>1975</v>
      </c>
      <c r="D16" t="s">
        <v>15</v>
      </c>
      <c r="E16">
        <v>164</v>
      </c>
      <c r="F16">
        <v>1233.182592937</v>
      </c>
      <c r="G16">
        <v>1.2331825929369999</v>
      </c>
      <c r="H16">
        <v>7.5194060544939001</v>
      </c>
      <c r="I16">
        <v>1233.182592937</v>
      </c>
      <c r="J16">
        <v>164</v>
      </c>
      <c r="K16" t="s">
        <v>11</v>
      </c>
      <c r="L16" t="str">
        <f t="shared" si="0"/>
        <v>Vinyl Single</v>
      </c>
    </row>
    <row r="17" spans="1:12" x14ac:dyDescent="0.3">
      <c r="A17">
        <v>15</v>
      </c>
      <c r="B17">
        <v>15</v>
      </c>
      <c r="C17">
        <v>1976</v>
      </c>
      <c r="D17" t="s">
        <v>10</v>
      </c>
      <c r="E17">
        <v>106.1</v>
      </c>
      <c r="F17">
        <v>3738.9082565909998</v>
      </c>
      <c r="G17">
        <v>3.7389082565909999</v>
      </c>
      <c r="H17">
        <v>35.239474614429703</v>
      </c>
      <c r="I17">
        <v>3738.9082565909998</v>
      </c>
      <c r="J17">
        <v>106.1</v>
      </c>
      <c r="K17" t="s">
        <v>11</v>
      </c>
      <c r="L17" t="str">
        <f t="shared" si="0"/>
        <v>8 - Track</v>
      </c>
    </row>
    <row r="18" spans="1:12" x14ac:dyDescent="0.3">
      <c r="A18">
        <v>16</v>
      </c>
      <c r="B18">
        <v>16</v>
      </c>
      <c r="C18">
        <v>1976</v>
      </c>
      <c r="D18" t="s">
        <v>12</v>
      </c>
      <c r="E18">
        <v>21.8</v>
      </c>
      <c r="F18">
        <v>803.242307557</v>
      </c>
      <c r="G18">
        <v>0.80324230755699999</v>
      </c>
      <c r="H18">
        <v>36.845977410871498</v>
      </c>
      <c r="I18">
        <v>803.242307557</v>
      </c>
      <c r="J18">
        <v>21.8</v>
      </c>
      <c r="K18" t="s">
        <v>11</v>
      </c>
      <c r="L18" t="str">
        <f t="shared" si="0"/>
        <v>Cassette</v>
      </c>
    </row>
    <row r="19" spans="1:12" x14ac:dyDescent="0.3">
      <c r="A19">
        <v>17</v>
      </c>
      <c r="B19">
        <v>17</v>
      </c>
      <c r="C19">
        <v>1976</v>
      </c>
      <c r="D19" t="s">
        <v>13</v>
      </c>
      <c r="E19">
        <v>273</v>
      </c>
      <c r="F19">
        <v>9168.0985413010003</v>
      </c>
      <c r="G19">
        <v>9.1680985413009992</v>
      </c>
      <c r="H19">
        <v>33.582778539564103</v>
      </c>
      <c r="I19">
        <v>9168.0985413010003</v>
      </c>
      <c r="J19">
        <v>273</v>
      </c>
      <c r="K19" t="s">
        <v>11</v>
      </c>
      <c r="L19" t="str">
        <f t="shared" si="0"/>
        <v>LP/EP</v>
      </c>
    </row>
    <row r="20" spans="1:12" x14ac:dyDescent="0.3">
      <c r="A20">
        <v>18</v>
      </c>
      <c r="B20">
        <v>18</v>
      </c>
      <c r="C20">
        <v>1976</v>
      </c>
      <c r="D20" t="s">
        <v>14</v>
      </c>
      <c r="E20">
        <v>0.7</v>
      </c>
      <c r="F20">
        <v>28.116237258000002</v>
      </c>
      <c r="G20">
        <v>2.8116237257999999E-2</v>
      </c>
      <c r="H20">
        <v>40.166053225714201</v>
      </c>
      <c r="I20">
        <v>28.116237258000002</v>
      </c>
      <c r="J20">
        <v>0.7</v>
      </c>
      <c r="K20" t="s">
        <v>11</v>
      </c>
      <c r="L20" t="str">
        <f t="shared" si="0"/>
        <v>Other Tapes</v>
      </c>
    </row>
    <row r="21" spans="1:12" x14ac:dyDescent="0.3">
      <c r="A21">
        <v>19</v>
      </c>
      <c r="B21">
        <v>19</v>
      </c>
      <c r="C21">
        <v>1976</v>
      </c>
      <c r="D21" t="s">
        <v>15</v>
      </c>
      <c r="E21">
        <v>190</v>
      </c>
      <c r="F21">
        <v>1351.2332847099999</v>
      </c>
      <c r="G21">
        <v>1.3512332847099999</v>
      </c>
      <c r="H21">
        <v>7.1117541300526304</v>
      </c>
      <c r="I21">
        <v>1351.2332847099999</v>
      </c>
      <c r="J21">
        <v>190</v>
      </c>
      <c r="K21" t="s">
        <v>11</v>
      </c>
      <c r="L21" t="str">
        <f t="shared" si="0"/>
        <v>Vinyl Single</v>
      </c>
    </row>
    <row r="22" spans="1:12" x14ac:dyDescent="0.3">
      <c r="A22">
        <v>20</v>
      </c>
      <c r="B22">
        <v>20</v>
      </c>
      <c r="C22">
        <v>1977</v>
      </c>
      <c r="D22" t="s">
        <v>10</v>
      </c>
      <c r="E22">
        <v>127.3</v>
      </c>
      <c r="F22">
        <v>4198.049158416</v>
      </c>
      <c r="G22">
        <v>4.1980491584159996</v>
      </c>
      <c r="H22">
        <v>32.977605329269402</v>
      </c>
      <c r="I22">
        <v>4198.049158416</v>
      </c>
      <c r="J22">
        <v>127.3</v>
      </c>
      <c r="K22" t="s">
        <v>11</v>
      </c>
      <c r="L22" t="str">
        <f t="shared" si="0"/>
        <v>8 - Track</v>
      </c>
    </row>
    <row r="23" spans="1:12" x14ac:dyDescent="0.3">
      <c r="A23">
        <v>21</v>
      </c>
      <c r="B23">
        <v>21</v>
      </c>
      <c r="C23">
        <v>1977</v>
      </c>
      <c r="D23" t="s">
        <v>12</v>
      </c>
      <c r="E23">
        <v>36.9</v>
      </c>
      <c r="F23">
        <v>1292.0259801980001</v>
      </c>
      <c r="G23">
        <v>1.2920259801980001</v>
      </c>
      <c r="H23">
        <v>35.014254205907797</v>
      </c>
      <c r="I23">
        <v>1292.0259801980001</v>
      </c>
      <c r="J23">
        <v>36.9</v>
      </c>
      <c r="K23" t="s">
        <v>11</v>
      </c>
      <c r="L23" t="str">
        <f t="shared" si="0"/>
        <v>Cassette</v>
      </c>
    </row>
    <row r="24" spans="1:12" x14ac:dyDescent="0.3">
      <c r="A24">
        <v>22</v>
      </c>
      <c r="B24">
        <v>22</v>
      </c>
      <c r="C24">
        <v>1977</v>
      </c>
      <c r="D24" t="s">
        <v>13</v>
      </c>
      <c r="E24">
        <v>344</v>
      </c>
      <c r="F24">
        <v>11362.685212871</v>
      </c>
      <c r="G24">
        <v>11.362685212871</v>
      </c>
      <c r="H24">
        <v>33.031061665322603</v>
      </c>
      <c r="I24">
        <v>11362.685212871</v>
      </c>
      <c r="J24">
        <v>344</v>
      </c>
      <c r="K24" t="s">
        <v>11</v>
      </c>
      <c r="L24" t="str">
        <f t="shared" si="0"/>
        <v>LP/EP</v>
      </c>
    </row>
    <row r="25" spans="1:12" x14ac:dyDescent="0.3">
      <c r="A25">
        <v>23</v>
      </c>
      <c r="B25">
        <v>23</v>
      </c>
      <c r="C25">
        <v>1977</v>
      </c>
      <c r="D25" t="s">
        <v>15</v>
      </c>
      <c r="E25">
        <v>190</v>
      </c>
      <c r="F25">
        <v>1268.7322425740001</v>
      </c>
      <c r="G25">
        <v>1.268732242574</v>
      </c>
      <c r="H25">
        <v>6.6775381188105198</v>
      </c>
      <c r="I25">
        <v>1268.7322425740001</v>
      </c>
      <c r="J25">
        <v>190</v>
      </c>
      <c r="K25" t="s">
        <v>11</v>
      </c>
      <c r="L25" t="str">
        <f t="shared" si="0"/>
        <v>Vinyl Single</v>
      </c>
    </row>
    <row r="26" spans="1:12" x14ac:dyDescent="0.3">
      <c r="A26">
        <v>24</v>
      </c>
      <c r="B26">
        <v>24</v>
      </c>
      <c r="C26">
        <v>1978</v>
      </c>
      <c r="D26" t="s">
        <v>10</v>
      </c>
      <c r="E26">
        <v>133.6</v>
      </c>
      <c r="F26">
        <v>4560.9995705519996</v>
      </c>
      <c r="G26">
        <v>4.5609995705519903</v>
      </c>
      <c r="H26">
        <v>34.139218342455003</v>
      </c>
      <c r="I26">
        <v>4560.9995705519996</v>
      </c>
      <c r="J26">
        <v>133.6</v>
      </c>
      <c r="K26" t="s">
        <v>11</v>
      </c>
      <c r="L26" t="str">
        <f t="shared" si="0"/>
        <v>8 - Track</v>
      </c>
    </row>
    <row r="27" spans="1:12" x14ac:dyDescent="0.3">
      <c r="A27">
        <v>25</v>
      </c>
      <c r="B27">
        <v>25</v>
      </c>
      <c r="C27">
        <v>1978</v>
      </c>
      <c r="D27" t="s">
        <v>12</v>
      </c>
      <c r="E27">
        <v>61.3</v>
      </c>
      <c r="F27">
        <v>2164.0692055210002</v>
      </c>
      <c r="G27">
        <v>2.1640692055209998</v>
      </c>
      <c r="H27">
        <v>35.302923417960798</v>
      </c>
      <c r="I27">
        <v>2164.0692055210002</v>
      </c>
      <c r="J27">
        <v>61.3</v>
      </c>
      <c r="K27" t="s">
        <v>11</v>
      </c>
      <c r="L27" t="str">
        <f t="shared" si="0"/>
        <v>Cassette</v>
      </c>
    </row>
    <row r="28" spans="1:12" x14ac:dyDescent="0.3">
      <c r="A28">
        <v>26</v>
      </c>
      <c r="B28">
        <v>26</v>
      </c>
      <c r="C28">
        <v>1978</v>
      </c>
      <c r="D28" t="s">
        <v>13</v>
      </c>
      <c r="E28">
        <v>341.3</v>
      </c>
      <c r="F28">
        <v>11899.493921779</v>
      </c>
      <c r="G28">
        <v>11.899493921778999</v>
      </c>
      <c r="H28">
        <v>34.865203403981802</v>
      </c>
      <c r="I28">
        <v>11899.493921779</v>
      </c>
      <c r="J28">
        <v>341.3</v>
      </c>
      <c r="K28" t="s">
        <v>11</v>
      </c>
      <c r="L28" t="str">
        <f t="shared" si="0"/>
        <v>LP/EP</v>
      </c>
    </row>
    <row r="29" spans="1:12" x14ac:dyDescent="0.3">
      <c r="A29">
        <v>27</v>
      </c>
      <c r="B29">
        <v>27</v>
      </c>
      <c r="C29">
        <v>1978</v>
      </c>
      <c r="D29" t="s">
        <v>15</v>
      </c>
      <c r="E29">
        <v>190</v>
      </c>
      <c r="F29">
        <v>1252.350409509</v>
      </c>
      <c r="G29">
        <v>1.2523504095089999</v>
      </c>
      <c r="H29">
        <v>6.5913179447842101</v>
      </c>
      <c r="I29">
        <v>1252.350409509</v>
      </c>
      <c r="J29">
        <v>190</v>
      </c>
      <c r="K29" t="s">
        <v>11</v>
      </c>
      <c r="L29" t="str">
        <f t="shared" si="0"/>
        <v>Vinyl Single</v>
      </c>
    </row>
    <row r="30" spans="1:12" x14ac:dyDescent="0.3">
      <c r="A30">
        <v>28</v>
      </c>
      <c r="B30">
        <v>28</v>
      </c>
      <c r="C30">
        <v>1979</v>
      </c>
      <c r="D30" t="s">
        <v>10</v>
      </c>
      <c r="E30">
        <v>102.3</v>
      </c>
      <c r="F30">
        <v>2956.7132603310001</v>
      </c>
      <c r="G30">
        <v>2.956713260331</v>
      </c>
      <c r="H30">
        <v>28.9023779113489</v>
      </c>
      <c r="I30">
        <v>2956.7132603310001</v>
      </c>
      <c r="J30">
        <v>102.3</v>
      </c>
      <c r="K30" t="s">
        <v>11</v>
      </c>
      <c r="L30" t="str">
        <f t="shared" si="0"/>
        <v>8 - Track</v>
      </c>
    </row>
    <row r="31" spans="1:12" x14ac:dyDescent="0.3">
      <c r="A31">
        <v>29</v>
      </c>
      <c r="B31">
        <v>29</v>
      </c>
      <c r="C31">
        <v>1979</v>
      </c>
      <c r="D31" t="s">
        <v>12</v>
      </c>
      <c r="E31">
        <v>78.5</v>
      </c>
      <c r="F31">
        <v>2508.647842975</v>
      </c>
      <c r="G31">
        <v>2.5086478429749999</v>
      </c>
      <c r="H31">
        <v>31.9572973627388</v>
      </c>
      <c r="I31">
        <v>2508.647842975</v>
      </c>
      <c r="J31">
        <v>78.5</v>
      </c>
      <c r="K31" t="s">
        <v>11</v>
      </c>
      <c r="L31" t="str">
        <f t="shared" si="0"/>
        <v>Cassette</v>
      </c>
    </row>
    <row r="32" spans="1:12" x14ac:dyDescent="0.3">
      <c r="A32">
        <v>30</v>
      </c>
      <c r="B32">
        <v>30</v>
      </c>
      <c r="C32">
        <v>1979</v>
      </c>
      <c r="D32" t="s">
        <v>13</v>
      </c>
      <c r="E32">
        <v>290</v>
      </c>
      <c r="F32">
        <v>8887.8549999999996</v>
      </c>
      <c r="G32">
        <v>8.8878550000000001</v>
      </c>
      <c r="H32">
        <v>30.647775862068901</v>
      </c>
      <c r="I32">
        <v>8887.8549999999996</v>
      </c>
      <c r="J32">
        <v>290</v>
      </c>
      <c r="K32" t="s">
        <v>11</v>
      </c>
      <c r="L32" t="str">
        <f t="shared" si="0"/>
        <v>LP/EP</v>
      </c>
    </row>
    <row r="33" spans="1:12" x14ac:dyDescent="0.3">
      <c r="A33">
        <v>31</v>
      </c>
      <c r="B33">
        <v>31</v>
      </c>
      <c r="C33">
        <v>1979</v>
      </c>
      <c r="D33" t="s">
        <v>15</v>
      </c>
      <c r="E33">
        <v>212</v>
      </c>
      <c r="F33">
        <v>1527.8296198349999</v>
      </c>
      <c r="G33">
        <v>1.5278296198349901</v>
      </c>
      <c r="H33">
        <v>7.2067434897877298</v>
      </c>
      <c r="I33">
        <v>1527.8296198349999</v>
      </c>
      <c r="J33">
        <v>212</v>
      </c>
      <c r="K33" t="s">
        <v>11</v>
      </c>
      <c r="L33" t="str">
        <f t="shared" si="0"/>
        <v>Vinyl Single</v>
      </c>
    </row>
    <row r="34" spans="1:12" x14ac:dyDescent="0.3">
      <c r="A34">
        <v>32</v>
      </c>
      <c r="B34">
        <v>32</v>
      </c>
      <c r="C34">
        <v>1980</v>
      </c>
      <c r="D34" t="s">
        <v>10</v>
      </c>
      <c r="E34">
        <v>85</v>
      </c>
      <c r="F34">
        <v>2006.2391140780001</v>
      </c>
      <c r="G34">
        <v>2.0062391140779998</v>
      </c>
      <c r="H34">
        <v>23.602813106799999</v>
      </c>
      <c r="I34">
        <v>2006.2391140780001</v>
      </c>
      <c r="J34">
        <v>85</v>
      </c>
      <c r="K34" t="s">
        <v>11</v>
      </c>
      <c r="L34" t="str">
        <f t="shared" si="0"/>
        <v>8 - Track</v>
      </c>
    </row>
    <row r="35" spans="1:12" x14ac:dyDescent="0.3">
      <c r="A35">
        <v>33</v>
      </c>
      <c r="B35">
        <v>33</v>
      </c>
      <c r="C35">
        <v>1980</v>
      </c>
      <c r="D35" t="s">
        <v>12</v>
      </c>
      <c r="E35">
        <v>99</v>
      </c>
      <c r="F35">
        <v>2683.8682645630001</v>
      </c>
      <c r="G35">
        <v>2.6838682645629999</v>
      </c>
      <c r="H35">
        <v>27.1097804501313</v>
      </c>
      <c r="I35">
        <v>2683.8682645630001</v>
      </c>
      <c r="J35">
        <v>99</v>
      </c>
      <c r="K35" t="s">
        <v>11</v>
      </c>
      <c r="L35" t="str">
        <f t="shared" si="0"/>
        <v>Cassette</v>
      </c>
    </row>
    <row r="36" spans="1:12" x14ac:dyDescent="0.3">
      <c r="A36">
        <v>34</v>
      </c>
      <c r="B36">
        <v>34</v>
      </c>
      <c r="C36">
        <v>1980</v>
      </c>
      <c r="D36" t="s">
        <v>13</v>
      </c>
      <c r="E36">
        <v>308</v>
      </c>
      <c r="F36">
        <v>8375.1917475730006</v>
      </c>
      <c r="G36">
        <v>8.375191747573</v>
      </c>
      <c r="H36">
        <v>27.192180998613601</v>
      </c>
      <c r="I36">
        <v>8375.1917475730006</v>
      </c>
      <c r="J36">
        <v>308</v>
      </c>
      <c r="K36" t="s">
        <v>11</v>
      </c>
      <c r="L36" t="str">
        <f t="shared" si="0"/>
        <v>LP/EP</v>
      </c>
    </row>
    <row r="37" spans="1:12" x14ac:dyDescent="0.3">
      <c r="A37">
        <v>35</v>
      </c>
      <c r="B37">
        <v>35</v>
      </c>
      <c r="C37">
        <v>1980</v>
      </c>
      <c r="D37" t="s">
        <v>15</v>
      </c>
      <c r="E37">
        <v>157</v>
      </c>
      <c r="F37">
        <v>951.72633495100001</v>
      </c>
      <c r="G37">
        <v>0.95172633495100001</v>
      </c>
      <c r="H37">
        <v>6.0619511780318396</v>
      </c>
      <c r="I37">
        <v>951.72633495100001</v>
      </c>
      <c r="J37">
        <v>157</v>
      </c>
      <c r="K37" t="s">
        <v>11</v>
      </c>
      <c r="L37" t="str">
        <f t="shared" si="0"/>
        <v>Vinyl Single</v>
      </c>
    </row>
    <row r="38" spans="1:12" x14ac:dyDescent="0.3">
      <c r="A38">
        <v>36</v>
      </c>
      <c r="B38">
        <v>36</v>
      </c>
      <c r="C38">
        <v>1981</v>
      </c>
      <c r="D38" t="s">
        <v>10</v>
      </c>
      <c r="E38">
        <v>50</v>
      </c>
      <c r="F38">
        <v>1080.139240924</v>
      </c>
      <c r="G38">
        <v>1.080139240924</v>
      </c>
      <c r="H38">
        <v>21.60278481848</v>
      </c>
      <c r="I38">
        <v>1080.139240924</v>
      </c>
      <c r="J38">
        <v>50</v>
      </c>
      <c r="K38" t="s">
        <v>11</v>
      </c>
      <c r="L38" t="str">
        <f t="shared" si="0"/>
        <v>8 - Track</v>
      </c>
    </row>
    <row r="39" spans="1:12" x14ac:dyDescent="0.3">
      <c r="A39">
        <v>37</v>
      </c>
      <c r="B39">
        <v>37</v>
      </c>
      <c r="C39">
        <v>1981</v>
      </c>
      <c r="D39" t="s">
        <v>12</v>
      </c>
      <c r="E39">
        <v>124</v>
      </c>
      <c r="F39">
        <v>3667.642125413</v>
      </c>
      <c r="G39">
        <v>3.6676421254129998</v>
      </c>
      <c r="H39">
        <v>29.577759075911199</v>
      </c>
      <c r="I39">
        <v>3667.642125413</v>
      </c>
      <c r="J39">
        <v>124</v>
      </c>
      <c r="K39" t="s">
        <v>11</v>
      </c>
      <c r="L39" t="str">
        <f t="shared" si="0"/>
        <v>Cassette</v>
      </c>
    </row>
    <row r="40" spans="1:12" x14ac:dyDescent="0.3">
      <c r="A40">
        <v>38</v>
      </c>
      <c r="B40">
        <v>38</v>
      </c>
      <c r="C40">
        <v>1981</v>
      </c>
      <c r="D40" t="s">
        <v>13</v>
      </c>
      <c r="E40">
        <v>295.2</v>
      </c>
      <c r="F40">
        <v>8081.028947195</v>
      </c>
      <c r="G40">
        <v>8.0810289471949996</v>
      </c>
      <c r="H40">
        <v>27.374759306216099</v>
      </c>
      <c r="I40">
        <v>8081.028947195</v>
      </c>
      <c r="J40">
        <v>295.2</v>
      </c>
      <c r="K40" t="s">
        <v>11</v>
      </c>
      <c r="L40" t="str">
        <f t="shared" si="0"/>
        <v>LP/EP</v>
      </c>
    </row>
    <row r="41" spans="1:12" x14ac:dyDescent="0.3">
      <c r="A41">
        <v>39</v>
      </c>
      <c r="B41">
        <v>39</v>
      </c>
      <c r="C41">
        <v>1981</v>
      </c>
      <c r="D41" t="s">
        <v>15</v>
      </c>
      <c r="E41">
        <v>154.69999999999999</v>
      </c>
      <c r="F41">
        <v>884.81693729400001</v>
      </c>
      <c r="G41">
        <v>0.88481693729400002</v>
      </c>
      <c r="H41">
        <v>5.7195664983451797</v>
      </c>
      <c r="I41">
        <v>884.81693729400001</v>
      </c>
      <c r="J41">
        <v>154.69999999999999</v>
      </c>
      <c r="K41" t="s">
        <v>11</v>
      </c>
      <c r="L41" t="str">
        <f t="shared" si="0"/>
        <v>Vinyl Single</v>
      </c>
    </row>
    <row r="42" spans="1:12" x14ac:dyDescent="0.3">
      <c r="A42">
        <v>40</v>
      </c>
      <c r="B42">
        <v>40</v>
      </c>
      <c r="C42">
        <v>1982</v>
      </c>
      <c r="D42" t="s">
        <v>10</v>
      </c>
      <c r="E42">
        <v>13.7</v>
      </c>
      <c r="F42">
        <v>117.023875648</v>
      </c>
      <c r="G42">
        <v>0.117023875648</v>
      </c>
      <c r="H42">
        <v>8.5418887334306497</v>
      </c>
      <c r="I42">
        <v>117.023875648</v>
      </c>
      <c r="J42">
        <v>13.7</v>
      </c>
      <c r="K42" t="s">
        <v>11</v>
      </c>
      <c r="L42" t="str">
        <f t="shared" si="0"/>
        <v>8 - Track</v>
      </c>
    </row>
    <row r="43" spans="1:12" x14ac:dyDescent="0.3">
      <c r="A43">
        <v>41</v>
      </c>
      <c r="B43">
        <v>41</v>
      </c>
      <c r="C43">
        <v>1982</v>
      </c>
      <c r="D43" t="s">
        <v>12</v>
      </c>
      <c r="E43">
        <v>183.2</v>
      </c>
      <c r="F43">
        <v>4500.5432176169998</v>
      </c>
      <c r="G43">
        <v>4.5005432176169897</v>
      </c>
      <c r="H43">
        <v>24.566283938957401</v>
      </c>
      <c r="I43">
        <v>4500.5432176169998</v>
      </c>
      <c r="J43">
        <v>183.2</v>
      </c>
      <c r="K43" t="s">
        <v>11</v>
      </c>
      <c r="L43" t="str">
        <f t="shared" si="0"/>
        <v>Cassette</v>
      </c>
    </row>
    <row r="44" spans="1:12" x14ac:dyDescent="0.3">
      <c r="A44">
        <v>42</v>
      </c>
      <c r="B44">
        <v>42</v>
      </c>
      <c r="C44">
        <v>1982</v>
      </c>
      <c r="D44" t="s">
        <v>13</v>
      </c>
      <c r="E44">
        <v>243.9</v>
      </c>
      <c r="F44">
        <v>6257.8517502590003</v>
      </c>
      <c r="G44">
        <v>6.2578517502590003</v>
      </c>
      <c r="H44">
        <v>25.657448750549399</v>
      </c>
      <c r="I44">
        <v>6257.8517502590003</v>
      </c>
      <c r="J44">
        <v>243.9</v>
      </c>
      <c r="K44" t="s">
        <v>11</v>
      </c>
      <c r="L44" t="str">
        <f t="shared" si="0"/>
        <v>LP/EP</v>
      </c>
    </row>
    <row r="45" spans="1:12" x14ac:dyDescent="0.3">
      <c r="A45">
        <v>43</v>
      </c>
      <c r="B45">
        <v>43</v>
      </c>
      <c r="C45">
        <v>1982</v>
      </c>
      <c r="D45" t="s">
        <v>15</v>
      </c>
      <c r="E45">
        <v>137.19999999999999</v>
      </c>
      <c r="F45">
        <v>919.93768911899997</v>
      </c>
      <c r="G45">
        <v>0.91993768911899998</v>
      </c>
      <c r="H45">
        <v>6.7050851976603498</v>
      </c>
      <c r="I45">
        <v>919.93768911899997</v>
      </c>
      <c r="J45">
        <v>137.19999999999999</v>
      </c>
      <c r="K45" t="s">
        <v>11</v>
      </c>
      <c r="L45" t="str">
        <f t="shared" si="0"/>
        <v>Vinyl Single</v>
      </c>
    </row>
    <row r="46" spans="1:12" x14ac:dyDescent="0.3">
      <c r="A46">
        <v>44</v>
      </c>
      <c r="B46">
        <v>44</v>
      </c>
      <c r="C46">
        <v>1983</v>
      </c>
      <c r="D46" t="s">
        <v>16</v>
      </c>
      <c r="E46">
        <v>0.8</v>
      </c>
      <c r="F46">
        <v>54.171192771000001</v>
      </c>
      <c r="G46">
        <v>5.4171192771E-2</v>
      </c>
      <c r="H46">
        <v>67.713990963749893</v>
      </c>
      <c r="I46">
        <v>54.171192771000001</v>
      </c>
      <c r="J46">
        <v>0.8</v>
      </c>
      <c r="K46" t="s">
        <v>11</v>
      </c>
      <c r="L46" t="str">
        <f t="shared" si="0"/>
        <v>CD</v>
      </c>
    </row>
    <row r="47" spans="1:12" x14ac:dyDescent="0.3">
      <c r="A47">
        <v>45</v>
      </c>
      <c r="B47">
        <v>45</v>
      </c>
      <c r="C47">
        <v>1983</v>
      </c>
      <c r="D47" t="s">
        <v>12</v>
      </c>
      <c r="E47">
        <v>236.8</v>
      </c>
      <c r="F47">
        <v>5703.4077319280004</v>
      </c>
      <c r="G47">
        <v>5.7034077319280003</v>
      </c>
      <c r="H47">
        <v>24.085336705776999</v>
      </c>
      <c r="I47">
        <v>5703.4077319280004</v>
      </c>
      <c r="J47">
        <v>236.8</v>
      </c>
      <c r="K47" t="s">
        <v>11</v>
      </c>
      <c r="L47" t="str">
        <f t="shared" si="0"/>
        <v>Cassette</v>
      </c>
    </row>
    <row r="48" spans="1:12" x14ac:dyDescent="0.3">
      <c r="A48">
        <v>46</v>
      </c>
      <c r="B48">
        <v>46</v>
      </c>
      <c r="C48">
        <v>1983</v>
      </c>
      <c r="D48" t="s">
        <v>13</v>
      </c>
      <c r="E48">
        <v>209.6</v>
      </c>
      <c r="F48">
        <v>5319.4851506020004</v>
      </c>
      <c r="G48">
        <v>5.3194851506019996</v>
      </c>
      <c r="H48">
        <v>25.379223046765201</v>
      </c>
      <c r="I48">
        <v>5319.4851506020004</v>
      </c>
      <c r="J48">
        <v>209.6</v>
      </c>
      <c r="K48" t="s">
        <v>11</v>
      </c>
      <c r="L48" t="str">
        <f t="shared" si="0"/>
        <v>LP/EP</v>
      </c>
    </row>
    <row r="49" spans="1:12" x14ac:dyDescent="0.3">
      <c r="A49">
        <v>47</v>
      </c>
      <c r="B49">
        <v>47</v>
      </c>
      <c r="C49">
        <v>1983</v>
      </c>
      <c r="D49" t="s">
        <v>15</v>
      </c>
      <c r="E49">
        <v>124.8</v>
      </c>
      <c r="F49">
        <v>848.15710542199997</v>
      </c>
      <c r="G49">
        <v>0.84815710542199996</v>
      </c>
      <c r="H49">
        <v>6.7961306524198699</v>
      </c>
      <c r="I49">
        <v>848.15710542199997</v>
      </c>
      <c r="J49">
        <v>124.8</v>
      </c>
      <c r="K49" t="s">
        <v>11</v>
      </c>
      <c r="L49" t="str">
        <f t="shared" si="0"/>
        <v>Vinyl Single</v>
      </c>
    </row>
    <row r="50" spans="1:12" x14ac:dyDescent="0.3">
      <c r="A50">
        <v>48</v>
      </c>
      <c r="B50">
        <v>48</v>
      </c>
      <c r="C50">
        <v>1984</v>
      </c>
      <c r="D50" t="s">
        <v>16</v>
      </c>
      <c r="E50">
        <v>5.8</v>
      </c>
      <c r="F50">
        <v>311.87751395599997</v>
      </c>
      <c r="G50">
        <v>0.311877513956</v>
      </c>
      <c r="H50">
        <v>53.771985164827498</v>
      </c>
      <c r="I50">
        <v>311.87751395599997</v>
      </c>
      <c r="J50">
        <v>5.8</v>
      </c>
      <c r="K50" t="s">
        <v>11</v>
      </c>
      <c r="L50" t="str">
        <f t="shared" si="0"/>
        <v>CD</v>
      </c>
    </row>
    <row r="51" spans="1:12" x14ac:dyDescent="0.3">
      <c r="A51">
        <v>49</v>
      </c>
      <c r="B51">
        <v>49</v>
      </c>
      <c r="C51">
        <v>1984</v>
      </c>
      <c r="D51" t="s">
        <v>12</v>
      </c>
      <c r="E51">
        <v>332</v>
      </c>
      <c r="F51">
        <v>7197.3359682390001</v>
      </c>
      <c r="G51">
        <v>7.1973359682389999</v>
      </c>
      <c r="H51">
        <v>21.678722795900601</v>
      </c>
      <c r="I51">
        <v>7197.3359682390001</v>
      </c>
      <c r="J51">
        <v>332</v>
      </c>
      <c r="K51" t="s">
        <v>11</v>
      </c>
      <c r="L51" t="str">
        <f t="shared" si="0"/>
        <v>Cassette</v>
      </c>
    </row>
    <row r="52" spans="1:12" x14ac:dyDescent="0.3">
      <c r="A52">
        <v>50</v>
      </c>
      <c r="B52">
        <v>50</v>
      </c>
      <c r="C52">
        <v>1984</v>
      </c>
      <c r="D52" t="s">
        <v>13</v>
      </c>
      <c r="E52">
        <v>204.6</v>
      </c>
      <c r="F52">
        <v>4676.0493089510001</v>
      </c>
      <c r="G52">
        <v>4.6760493089509998</v>
      </c>
      <c r="H52">
        <v>22.854590952839601</v>
      </c>
      <c r="I52">
        <v>4676.0493089510001</v>
      </c>
      <c r="J52">
        <v>204.6</v>
      </c>
      <c r="K52" t="s">
        <v>11</v>
      </c>
      <c r="L52" t="str">
        <f t="shared" si="0"/>
        <v>LP/EP</v>
      </c>
    </row>
    <row r="53" spans="1:12" x14ac:dyDescent="0.3">
      <c r="A53">
        <v>51</v>
      </c>
      <c r="B53">
        <v>51</v>
      </c>
      <c r="C53">
        <v>1984</v>
      </c>
      <c r="D53" t="s">
        <v>15</v>
      </c>
      <c r="E53">
        <v>131.5</v>
      </c>
      <c r="F53">
        <v>901.81813570700001</v>
      </c>
      <c r="G53">
        <v>0.90181813570699998</v>
      </c>
      <c r="H53">
        <v>6.8579325909277502</v>
      </c>
      <c r="I53">
        <v>901.81813570700001</v>
      </c>
      <c r="J53">
        <v>131.5</v>
      </c>
      <c r="K53" t="s">
        <v>11</v>
      </c>
      <c r="L53" t="str">
        <f t="shared" si="0"/>
        <v>Vinyl Single</v>
      </c>
    </row>
    <row r="54" spans="1:12" x14ac:dyDescent="0.3">
      <c r="A54">
        <v>52</v>
      </c>
      <c r="B54">
        <v>52</v>
      </c>
      <c r="C54">
        <v>1985</v>
      </c>
      <c r="D54" t="s">
        <v>16</v>
      </c>
      <c r="E54">
        <v>22.6</v>
      </c>
      <c r="F54">
        <v>1135.5191960970001</v>
      </c>
      <c r="G54">
        <v>1.1355191960969999</v>
      </c>
      <c r="H54">
        <v>50.244212216681397</v>
      </c>
      <c r="I54">
        <v>1135.5191960970001</v>
      </c>
      <c r="J54">
        <v>22.6</v>
      </c>
      <c r="K54" t="s">
        <v>11</v>
      </c>
      <c r="L54" t="str">
        <f t="shared" si="0"/>
        <v>CD</v>
      </c>
    </row>
    <row r="55" spans="1:12" x14ac:dyDescent="0.3">
      <c r="A55">
        <v>53</v>
      </c>
      <c r="B55">
        <v>53</v>
      </c>
      <c r="C55">
        <v>1985</v>
      </c>
      <c r="D55" t="s">
        <v>12</v>
      </c>
      <c r="E55">
        <v>339.1</v>
      </c>
      <c r="F55">
        <v>7030.3069098509995</v>
      </c>
      <c r="G55">
        <v>7.0303069098509896</v>
      </c>
      <c r="H55">
        <v>20.7322527568593</v>
      </c>
      <c r="I55">
        <v>7030.3069098509995</v>
      </c>
      <c r="J55">
        <v>339.1</v>
      </c>
      <c r="K55" t="s">
        <v>11</v>
      </c>
      <c r="L55" t="str">
        <f t="shared" si="0"/>
        <v>Cassette</v>
      </c>
    </row>
    <row r="56" spans="1:12" x14ac:dyDescent="0.3">
      <c r="A56">
        <v>54</v>
      </c>
      <c r="B56">
        <v>54</v>
      </c>
      <c r="C56">
        <v>1985</v>
      </c>
      <c r="D56" t="s">
        <v>13</v>
      </c>
      <c r="E56">
        <v>167</v>
      </c>
      <c r="F56">
        <v>3733.0740195170001</v>
      </c>
      <c r="G56">
        <v>3.7330740195169998</v>
      </c>
      <c r="H56">
        <v>22.353736643814301</v>
      </c>
      <c r="I56">
        <v>3733.0740195170001</v>
      </c>
      <c r="J56">
        <v>167</v>
      </c>
      <c r="K56" t="s">
        <v>11</v>
      </c>
      <c r="L56" t="str">
        <f t="shared" si="0"/>
        <v>LP/EP</v>
      </c>
    </row>
    <row r="57" spans="1:12" x14ac:dyDescent="0.3">
      <c r="A57">
        <v>55</v>
      </c>
      <c r="B57">
        <v>55</v>
      </c>
      <c r="C57">
        <v>1985</v>
      </c>
      <c r="D57" t="s">
        <v>15</v>
      </c>
      <c r="E57">
        <v>120.7</v>
      </c>
      <c r="F57">
        <v>819.206403346</v>
      </c>
      <c r="G57">
        <v>0.81920640334600003</v>
      </c>
      <c r="H57">
        <v>6.7871284452858296</v>
      </c>
      <c r="I57">
        <v>819.206403346</v>
      </c>
      <c r="J57">
        <v>120.7</v>
      </c>
      <c r="K57" t="s">
        <v>11</v>
      </c>
      <c r="L57" t="str">
        <f t="shared" si="0"/>
        <v>Vinyl Single</v>
      </c>
    </row>
    <row r="58" spans="1:12" x14ac:dyDescent="0.3">
      <c r="A58">
        <v>56</v>
      </c>
      <c r="B58">
        <v>56</v>
      </c>
      <c r="C58">
        <v>1986</v>
      </c>
      <c r="D58" t="s">
        <v>16</v>
      </c>
      <c r="E58">
        <v>53</v>
      </c>
      <c r="F58">
        <v>2662.0633111309999</v>
      </c>
      <c r="G58">
        <v>2.6620633111309999</v>
      </c>
      <c r="H58">
        <v>50.227609643981097</v>
      </c>
      <c r="I58">
        <v>2662.0633111309999</v>
      </c>
      <c r="J58">
        <v>53</v>
      </c>
      <c r="K58" t="s">
        <v>11</v>
      </c>
      <c r="L58" t="str">
        <f t="shared" si="0"/>
        <v>CD</v>
      </c>
    </row>
    <row r="59" spans="1:12" x14ac:dyDescent="0.3">
      <c r="A59">
        <v>57</v>
      </c>
      <c r="B59">
        <v>57</v>
      </c>
      <c r="C59">
        <v>1986</v>
      </c>
      <c r="D59" t="s">
        <v>12</v>
      </c>
      <c r="E59">
        <v>344.5</v>
      </c>
      <c r="F59">
        <v>7153.8837180660003</v>
      </c>
      <c r="G59">
        <v>7.153883718066</v>
      </c>
      <c r="H59">
        <v>20.765990473340999</v>
      </c>
      <c r="I59">
        <v>7153.8837180660003</v>
      </c>
      <c r="J59">
        <v>344.5</v>
      </c>
      <c r="K59" t="s">
        <v>11</v>
      </c>
      <c r="L59" t="str">
        <f t="shared" si="0"/>
        <v>Cassette</v>
      </c>
    </row>
    <row r="60" spans="1:12" x14ac:dyDescent="0.3">
      <c r="A60">
        <v>58</v>
      </c>
      <c r="B60">
        <v>58</v>
      </c>
      <c r="C60">
        <v>1986</v>
      </c>
      <c r="D60" t="s">
        <v>13</v>
      </c>
      <c r="E60">
        <v>125.2</v>
      </c>
      <c r="F60">
        <v>2813.4697718980001</v>
      </c>
      <c r="G60">
        <v>2.8134697718980002</v>
      </c>
      <c r="H60">
        <v>22.4718032899201</v>
      </c>
      <c r="I60">
        <v>2813.4697718980001</v>
      </c>
      <c r="J60">
        <v>125.2</v>
      </c>
      <c r="K60" t="s">
        <v>11</v>
      </c>
      <c r="L60" t="str">
        <f t="shared" si="0"/>
        <v>LP/EP</v>
      </c>
    </row>
    <row r="61" spans="1:12" x14ac:dyDescent="0.3">
      <c r="A61">
        <v>59</v>
      </c>
      <c r="B61">
        <v>59</v>
      </c>
      <c r="C61">
        <v>1986</v>
      </c>
      <c r="D61" t="s">
        <v>15</v>
      </c>
      <c r="E61">
        <v>93.9</v>
      </c>
      <c r="F61">
        <v>652.85092062000001</v>
      </c>
      <c r="G61">
        <v>0.65285092062000005</v>
      </c>
      <c r="H61">
        <v>6.9526189629392903</v>
      </c>
      <c r="I61">
        <v>652.85092062000001</v>
      </c>
      <c r="J61">
        <v>93.9</v>
      </c>
      <c r="K61" t="s">
        <v>11</v>
      </c>
      <c r="L61" t="str">
        <f t="shared" si="0"/>
        <v>Vinyl Single</v>
      </c>
    </row>
    <row r="62" spans="1:12" x14ac:dyDescent="0.3">
      <c r="A62">
        <v>60</v>
      </c>
      <c r="B62">
        <v>60</v>
      </c>
      <c r="C62">
        <v>1987</v>
      </c>
      <c r="D62" t="s">
        <v>16</v>
      </c>
      <c r="E62">
        <v>102.1</v>
      </c>
      <c r="F62">
        <v>4400.4823098590005</v>
      </c>
      <c r="G62">
        <v>4.400482309859</v>
      </c>
      <c r="H62">
        <v>43.099728793917699</v>
      </c>
      <c r="I62">
        <v>4400.4823098590005</v>
      </c>
      <c r="J62">
        <v>102.1</v>
      </c>
      <c r="K62" t="s">
        <v>11</v>
      </c>
      <c r="L62" t="str">
        <f t="shared" si="0"/>
        <v>CD</v>
      </c>
    </row>
    <row r="63" spans="1:12" x14ac:dyDescent="0.3">
      <c r="A63">
        <v>61</v>
      </c>
      <c r="B63">
        <v>61</v>
      </c>
      <c r="C63">
        <v>1987</v>
      </c>
      <c r="D63" t="s">
        <v>12</v>
      </c>
      <c r="E63">
        <v>410</v>
      </c>
      <c r="F63">
        <v>8172.7582156689996</v>
      </c>
      <c r="G63">
        <v>8.1727582156689902</v>
      </c>
      <c r="H63">
        <v>19.933556623582898</v>
      </c>
      <c r="I63">
        <v>8172.7582156689996</v>
      </c>
      <c r="J63">
        <v>410</v>
      </c>
      <c r="K63" t="s">
        <v>11</v>
      </c>
      <c r="L63" t="str">
        <f t="shared" si="0"/>
        <v>Cassette</v>
      </c>
    </row>
    <row r="64" spans="1:12" x14ac:dyDescent="0.3">
      <c r="A64">
        <v>62</v>
      </c>
      <c r="B64">
        <v>62</v>
      </c>
      <c r="C64">
        <v>1987</v>
      </c>
      <c r="D64" t="s">
        <v>17</v>
      </c>
      <c r="E64">
        <v>5.0999999999999996</v>
      </c>
      <c r="F64">
        <v>39.487259682999998</v>
      </c>
      <c r="G64">
        <v>3.9487259683000001E-2</v>
      </c>
      <c r="H64">
        <v>7.7425999378431296</v>
      </c>
      <c r="I64">
        <v>39.487259682999998</v>
      </c>
      <c r="J64">
        <v>5.0999999999999996</v>
      </c>
      <c r="K64" t="s">
        <v>11</v>
      </c>
      <c r="L64" t="str">
        <f t="shared" si="0"/>
        <v>Cassette Single</v>
      </c>
    </row>
    <row r="65" spans="1:12" x14ac:dyDescent="0.3">
      <c r="A65">
        <v>63</v>
      </c>
      <c r="B65">
        <v>63</v>
      </c>
      <c r="C65">
        <v>1987</v>
      </c>
      <c r="D65" t="s">
        <v>13</v>
      </c>
      <c r="E65">
        <v>107</v>
      </c>
      <c r="F65">
        <v>2190.0241716549999</v>
      </c>
      <c r="G65">
        <v>2.1900241716550002</v>
      </c>
      <c r="H65">
        <v>20.4675156229439</v>
      </c>
      <c r="I65">
        <v>2190.0241716549999</v>
      </c>
      <c r="J65">
        <v>107</v>
      </c>
      <c r="K65" t="s">
        <v>11</v>
      </c>
      <c r="L65" t="str">
        <f t="shared" si="0"/>
        <v>LP/EP</v>
      </c>
    </row>
    <row r="66" spans="1:12" x14ac:dyDescent="0.3">
      <c r="A66">
        <v>64</v>
      </c>
      <c r="B66">
        <v>64</v>
      </c>
      <c r="C66">
        <v>1987</v>
      </c>
      <c r="D66" t="s">
        <v>15</v>
      </c>
      <c r="E66">
        <v>82</v>
      </c>
      <c r="F66">
        <v>561.381810739</v>
      </c>
      <c r="G66">
        <v>0.56138181073899995</v>
      </c>
      <c r="H66">
        <v>6.8461196431585298</v>
      </c>
      <c r="I66">
        <v>561.381810739</v>
      </c>
      <c r="J66">
        <v>82</v>
      </c>
      <c r="K66" t="s">
        <v>11</v>
      </c>
      <c r="L66" t="str">
        <f t="shared" si="0"/>
        <v>Vinyl Single</v>
      </c>
    </row>
    <row r="67" spans="1:12" x14ac:dyDescent="0.3">
      <c r="A67">
        <v>65</v>
      </c>
      <c r="B67">
        <v>65</v>
      </c>
      <c r="C67">
        <v>1988</v>
      </c>
      <c r="D67" t="s">
        <v>16</v>
      </c>
      <c r="E67">
        <v>149.69999999999999</v>
      </c>
      <c r="F67">
        <v>5541.6622240070001</v>
      </c>
      <c r="G67">
        <v>5.5416622240070001</v>
      </c>
      <c r="H67">
        <v>37.018451730173602</v>
      </c>
      <c r="I67">
        <v>5541.6622240070001</v>
      </c>
      <c r="J67">
        <v>149.69999999999999</v>
      </c>
      <c r="K67" t="s">
        <v>11</v>
      </c>
      <c r="L67" t="str">
        <f t="shared" ref="L67:L130" si="1">D67</f>
        <v>CD</v>
      </c>
    </row>
    <row r="68" spans="1:12" x14ac:dyDescent="0.3">
      <c r="A68">
        <v>66</v>
      </c>
      <c r="B68">
        <v>66</v>
      </c>
      <c r="C68">
        <v>1988</v>
      </c>
      <c r="D68" t="s">
        <v>18</v>
      </c>
      <c r="E68">
        <v>1.6</v>
      </c>
      <c r="F68">
        <v>25.986071006</v>
      </c>
      <c r="G68">
        <v>2.5986071005999999E-2</v>
      </c>
      <c r="H68">
        <v>16.241294378749998</v>
      </c>
      <c r="I68">
        <v>25.986071006</v>
      </c>
      <c r="J68">
        <v>1.6</v>
      </c>
      <c r="K68" t="s">
        <v>11</v>
      </c>
      <c r="L68" t="str">
        <f t="shared" si="1"/>
        <v>CD Single</v>
      </c>
    </row>
    <row r="69" spans="1:12" x14ac:dyDescent="0.3">
      <c r="A69">
        <v>67</v>
      </c>
      <c r="B69">
        <v>67</v>
      </c>
      <c r="C69">
        <v>1988</v>
      </c>
      <c r="D69" t="s">
        <v>12</v>
      </c>
      <c r="E69">
        <v>450.1</v>
      </c>
      <c r="F69">
        <v>8976.0662206260004</v>
      </c>
      <c r="G69">
        <v>8.9760662206260005</v>
      </c>
      <c r="H69">
        <v>19.9423821831281</v>
      </c>
      <c r="I69">
        <v>8976.0662206260004</v>
      </c>
      <c r="J69">
        <v>450.1</v>
      </c>
      <c r="K69" t="s">
        <v>11</v>
      </c>
      <c r="L69" t="str">
        <f t="shared" si="1"/>
        <v>Cassette</v>
      </c>
    </row>
    <row r="70" spans="1:12" x14ac:dyDescent="0.3">
      <c r="A70">
        <v>68</v>
      </c>
      <c r="B70">
        <v>68</v>
      </c>
      <c r="C70">
        <v>1988</v>
      </c>
      <c r="D70" t="s">
        <v>17</v>
      </c>
      <c r="E70">
        <v>22.5</v>
      </c>
      <c r="F70">
        <v>151.93896618799999</v>
      </c>
      <c r="G70">
        <v>0.15193896618799901</v>
      </c>
      <c r="H70">
        <v>6.75284294168888</v>
      </c>
      <c r="I70">
        <v>151.93896618799999</v>
      </c>
      <c r="J70">
        <v>22.5</v>
      </c>
      <c r="K70" t="s">
        <v>11</v>
      </c>
      <c r="L70" t="str">
        <f t="shared" si="1"/>
        <v>Cassette Single</v>
      </c>
    </row>
    <row r="71" spans="1:12" x14ac:dyDescent="0.3">
      <c r="A71">
        <v>69</v>
      </c>
      <c r="B71">
        <v>69</v>
      </c>
      <c r="C71">
        <v>1988</v>
      </c>
      <c r="D71" t="s">
        <v>13</v>
      </c>
      <c r="E71">
        <v>72.400000000000006</v>
      </c>
      <c r="F71">
        <v>1411.202754015</v>
      </c>
      <c r="G71">
        <v>1.4112027540150001</v>
      </c>
      <c r="H71">
        <v>19.491750746063499</v>
      </c>
      <c r="I71">
        <v>1411.202754015</v>
      </c>
      <c r="J71">
        <v>72.400000000000006</v>
      </c>
      <c r="K71" t="s">
        <v>11</v>
      </c>
      <c r="L71" t="str">
        <f t="shared" si="1"/>
        <v>LP/EP</v>
      </c>
    </row>
    <row r="72" spans="1:12" x14ac:dyDescent="0.3">
      <c r="A72">
        <v>70</v>
      </c>
      <c r="B72">
        <v>70</v>
      </c>
      <c r="C72">
        <v>1988</v>
      </c>
      <c r="D72" t="s">
        <v>15</v>
      </c>
      <c r="E72">
        <v>65.599999999999994</v>
      </c>
      <c r="F72">
        <v>478.35583770099998</v>
      </c>
      <c r="G72">
        <v>0.47835583770099999</v>
      </c>
      <c r="H72">
        <v>7.29200972105183</v>
      </c>
      <c r="I72">
        <v>478.35583770099998</v>
      </c>
      <c r="J72">
        <v>65.599999999999994</v>
      </c>
      <c r="K72" t="s">
        <v>11</v>
      </c>
      <c r="L72" t="str">
        <f t="shared" si="1"/>
        <v>Vinyl Single</v>
      </c>
    </row>
    <row r="73" spans="1:12" x14ac:dyDescent="0.3">
      <c r="A73">
        <v>71</v>
      </c>
      <c r="B73">
        <v>71</v>
      </c>
      <c r="C73">
        <v>1989</v>
      </c>
      <c r="D73" t="s">
        <v>16</v>
      </c>
      <c r="E73">
        <v>207.2</v>
      </c>
      <c r="F73">
        <v>6546.2340750000003</v>
      </c>
      <c r="G73">
        <v>6.5462340750000001</v>
      </c>
      <c r="H73">
        <v>31.593793798262499</v>
      </c>
      <c r="I73">
        <v>6546.2340750000003</v>
      </c>
      <c r="J73">
        <v>207.2</v>
      </c>
      <c r="K73" t="s">
        <v>11</v>
      </c>
      <c r="L73" t="str">
        <f t="shared" si="1"/>
        <v>CD</v>
      </c>
    </row>
    <row r="74" spans="1:12" x14ac:dyDescent="0.3">
      <c r="A74">
        <v>72</v>
      </c>
      <c r="B74">
        <v>72</v>
      </c>
      <c r="C74">
        <v>1989</v>
      </c>
      <c r="D74" t="s">
        <v>18</v>
      </c>
      <c r="E74">
        <v>-0.1</v>
      </c>
      <c r="J74">
        <v>-0.1</v>
      </c>
      <c r="K74" t="s">
        <v>11</v>
      </c>
      <c r="L74" t="str">
        <f t="shared" si="1"/>
        <v>CD Single</v>
      </c>
    </row>
    <row r="75" spans="1:12" x14ac:dyDescent="0.3">
      <c r="A75">
        <v>73</v>
      </c>
      <c r="B75">
        <v>73</v>
      </c>
      <c r="C75">
        <v>1989</v>
      </c>
      <c r="D75" t="s">
        <v>12</v>
      </c>
      <c r="E75">
        <v>446.2</v>
      </c>
      <c r="F75">
        <v>8464.0375499999991</v>
      </c>
      <c r="G75">
        <v>8.4640375499999898</v>
      </c>
      <c r="H75">
        <v>18.9691563200358</v>
      </c>
      <c r="I75">
        <v>8464.0375499999991</v>
      </c>
      <c r="J75">
        <v>446.2</v>
      </c>
      <c r="K75" t="s">
        <v>11</v>
      </c>
      <c r="L75" t="str">
        <f t="shared" si="1"/>
        <v>Cassette</v>
      </c>
    </row>
    <row r="76" spans="1:12" x14ac:dyDescent="0.3">
      <c r="A76">
        <v>74</v>
      </c>
      <c r="B76">
        <v>74</v>
      </c>
      <c r="C76">
        <v>1989</v>
      </c>
      <c r="D76" t="s">
        <v>17</v>
      </c>
      <c r="E76">
        <v>76.2</v>
      </c>
      <c r="F76">
        <v>492.28935000000001</v>
      </c>
      <c r="G76">
        <v>0.49228935000000001</v>
      </c>
      <c r="H76">
        <v>6.4604901574803097</v>
      </c>
      <c r="I76">
        <v>492.28935000000001</v>
      </c>
      <c r="J76">
        <v>76.2</v>
      </c>
      <c r="K76" t="s">
        <v>11</v>
      </c>
      <c r="L76" t="str">
        <f t="shared" si="1"/>
        <v>Cassette Single</v>
      </c>
    </row>
    <row r="77" spans="1:12" x14ac:dyDescent="0.3">
      <c r="A77">
        <v>75</v>
      </c>
      <c r="B77">
        <v>75</v>
      </c>
      <c r="C77">
        <v>1989</v>
      </c>
      <c r="D77" t="s">
        <v>13</v>
      </c>
      <c r="E77">
        <v>34.6</v>
      </c>
      <c r="F77">
        <v>557.30392500000005</v>
      </c>
      <c r="G77">
        <v>0.55730392500000003</v>
      </c>
      <c r="H77">
        <v>16.107049855491301</v>
      </c>
      <c r="I77">
        <v>557.30392500000005</v>
      </c>
      <c r="J77">
        <v>34.6</v>
      </c>
      <c r="K77" t="s">
        <v>11</v>
      </c>
      <c r="L77" t="str">
        <f t="shared" si="1"/>
        <v>LP/EP</v>
      </c>
    </row>
    <row r="78" spans="1:12" x14ac:dyDescent="0.3">
      <c r="A78">
        <v>76</v>
      </c>
      <c r="B78">
        <v>76</v>
      </c>
      <c r="C78">
        <v>1989</v>
      </c>
      <c r="D78" t="s">
        <v>19</v>
      </c>
      <c r="E78">
        <v>6.1</v>
      </c>
      <c r="F78">
        <v>291.93315000000001</v>
      </c>
      <c r="G78">
        <v>0.29193314999999997</v>
      </c>
      <c r="H78">
        <v>47.857893442622903</v>
      </c>
      <c r="I78">
        <v>291.93315000000001</v>
      </c>
      <c r="J78">
        <v>6.1</v>
      </c>
      <c r="K78" t="s">
        <v>11</v>
      </c>
      <c r="L78" t="str">
        <f t="shared" si="1"/>
        <v>Music Video (Physical)</v>
      </c>
    </row>
    <row r="79" spans="1:12" x14ac:dyDescent="0.3">
      <c r="A79">
        <v>77</v>
      </c>
      <c r="B79">
        <v>77</v>
      </c>
      <c r="C79">
        <v>1989</v>
      </c>
      <c r="D79" t="s">
        <v>15</v>
      </c>
      <c r="E79">
        <v>36.6</v>
      </c>
      <c r="F79">
        <v>294.46289999999999</v>
      </c>
      <c r="G79">
        <v>0.29446289999999897</v>
      </c>
      <c r="H79">
        <v>8.0454344262294999</v>
      </c>
      <c r="I79">
        <v>294.46289999999999</v>
      </c>
      <c r="J79">
        <v>36.6</v>
      </c>
      <c r="K79" t="s">
        <v>11</v>
      </c>
      <c r="L79" t="str">
        <f t="shared" si="1"/>
        <v>Vinyl Single</v>
      </c>
    </row>
    <row r="80" spans="1:12" x14ac:dyDescent="0.3">
      <c r="A80">
        <v>78</v>
      </c>
      <c r="B80">
        <v>78</v>
      </c>
      <c r="C80">
        <v>1990</v>
      </c>
      <c r="D80" t="s">
        <v>16</v>
      </c>
      <c r="E80">
        <v>286.5</v>
      </c>
      <c r="F80">
        <v>8284.0776771229994</v>
      </c>
      <c r="G80">
        <v>8.2840776771229994</v>
      </c>
      <c r="H80">
        <v>28.914756290132601</v>
      </c>
      <c r="I80">
        <v>8284.0776771229994</v>
      </c>
      <c r="J80">
        <v>286.5</v>
      </c>
      <c r="K80" t="s">
        <v>11</v>
      </c>
      <c r="L80" t="str">
        <f t="shared" si="1"/>
        <v>CD</v>
      </c>
    </row>
    <row r="81" spans="1:12" x14ac:dyDescent="0.3">
      <c r="A81">
        <v>79</v>
      </c>
      <c r="B81">
        <v>79</v>
      </c>
      <c r="C81">
        <v>1990</v>
      </c>
      <c r="D81" t="s">
        <v>18</v>
      </c>
      <c r="E81">
        <v>1.1000000000000001</v>
      </c>
      <c r="F81">
        <v>14.400413159999999</v>
      </c>
      <c r="G81">
        <v>1.440041316E-2</v>
      </c>
      <c r="H81">
        <v>13.091284690908999</v>
      </c>
      <c r="I81">
        <v>14.400413159999999</v>
      </c>
      <c r="J81">
        <v>1.1000000000000001</v>
      </c>
      <c r="K81" t="s">
        <v>11</v>
      </c>
      <c r="L81" t="str">
        <f t="shared" si="1"/>
        <v>CD Single</v>
      </c>
    </row>
    <row r="82" spans="1:12" x14ac:dyDescent="0.3">
      <c r="A82">
        <v>80</v>
      </c>
      <c r="B82">
        <v>80</v>
      </c>
      <c r="C82">
        <v>1990</v>
      </c>
      <c r="D82" t="s">
        <v>12</v>
      </c>
      <c r="E82">
        <v>442.2</v>
      </c>
      <c r="F82">
        <v>8333.9991094109992</v>
      </c>
      <c r="G82">
        <v>8.3339991094109998</v>
      </c>
      <c r="H82">
        <v>18.846673698351399</v>
      </c>
      <c r="I82">
        <v>8333.9991094109992</v>
      </c>
      <c r="J82">
        <v>442.2</v>
      </c>
      <c r="K82" t="s">
        <v>11</v>
      </c>
      <c r="L82" t="str">
        <f t="shared" si="1"/>
        <v>Cassette</v>
      </c>
    </row>
    <row r="83" spans="1:12" x14ac:dyDescent="0.3">
      <c r="A83">
        <v>81</v>
      </c>
      <c r="B83">
        <v>81</v>
      </c>
      <c r="C83">
        <v>1990</v>
      </c>
      <c r="D83" t="s">
        <v>17</v>
      </c>
      <c r="E83">
        <v>87.4</v>
      </c>
      <c r="F83">
        <v>618.97775898999998</v>
      </c>
      <c r="G83">
        <v>0.61897775898999996</v>
      </c>
      <c r="H83">
        <v>7.0821253889016003</v>
      </c>
      <c r="I83">
        <v>618.97775898999998</v>
      </c>
      <c r="J83">
        <v>87.4</v>
      </c>
      <c r="K83" t="s">
        <v>11</v>
      </c>
      <c r="L83" t="str">
        <f t="shared" si="1"/>
        <v>Cassette Single</v>
      </c>
    </row>
    <row r="84" spans="1:12" x14ac:dyDescent="0.3">
      <c r="A84">
        <v>82</v>
      </c>
      <c r="B84">
        <v>82</v>
      </c>
      <c r="C84">
        <v>1990</v>
      </c>
      <c r="D84" t="s">
        <v>13</v>
      </c>
      <c r="E84">
        <v>11.7</v>
      </c>
      <c r="F84">
        <v>207.605956389</v>
      </c>
      <c r="G84">
        <v>0.20760595638900001</v>
      </c>
      <c r="H84">
        <v>17.744098836666598</v>
      </c>
      <c r="I84">
        <v>207.605956389</v>
      </c>
      <c r="J84">
        <v>11.7</v>
      </c>
      <c r="K84" t="s">
        <v>11</v>
      </c>
      <c r="L84" t="str">
        <f t="shared" si="1"/>
        <v>LP/EP</v>
      </c>
    </row>
    <row r="85" spans="1:12" x14ac:dyDescent="0.3">
      <c r="A85">
        <v>83</v>
      </c>
      <c r="B85">
        <v>83</v>
      </c>
      <c r="C85">
        <v>1990</v>
      </c>
      <c r="D85" t="s">
        <v>19</v>
      </c>
      <c r="E85">
        <v>9.1999999999999993</v>
      </c>
      <c r="F85">
        <v>413.53186457499999</v>
      </c>
      <c r="G85">
        <v>0.41353186457500002</v>
      </c>
      <c r="H85">
        <v>44.949115714673901</v>
      </c>
      <c r="I85">
        <v>413.53186457499999</v>
      </c>
      <c r="J85">
        <v>9.1999999999999993</v>
      </c>
      <c r="K85" t="s">
        <v>11</v>
      </c>
      <c r="L85" t="str">
        <f t="shared" si="1"/>
        <v>Music Video (Physical)</v>
      </c>
    </row>
    <row r="86" spans="1:12" x14ac:dyDescent="0.3">
      <c r="A86">
        <v>84</v>
      </c>
      <c r="B86">
        <v>84</v>
      </c>
      <c r="C86">
        <v>1990</v>
      </c>
      <c r="D86" t="s">
        <v>15</v>
      </c>
      <c r="E86">
        <v>27.6</v>
      </c>
      <c r="F86">
        <v>226.566500383</v>
      </c>
      <c r="G86">
        <v>0.226566500383</v>
      </c>
      <c r="H86">
        <v>8.2089311732971009</v>
      </c>
      <c r="I86">
        <v>226.566500383</v>
      </c>
      <c r="J86">
        <v>27.6</v>
      </c>
      <c r="K86" t="s">
        <v>11</v>
      </c>
      <c r="L86" t="str">
        <f t="shared" si="1"/>
        <v>Vinyl Single</v>
      </c>
    </row>
    <row r="87" spans="1:12" x14ac:dyDescent="0.3">
      <c r="A87">
        <v>85</v>
      </c>
      <c r="B87">
        <v>85</v>
      </c>
      <c r="C87">
        <v>1991</v>
      </c>
      <c r="D87" t="s">
        <v>16</v>
      </c>
      <c r="E87">
        <v>333.3</v>
      </c>
      <c r="F87">
        <v>9990.3727995589998</v>
      </c>
      <c r="G87">
        <v>9.9903727995589993</v>
      </c>
      <c r="H87">
        <v>29.974115810257999</v>
      </c>
      <c r="I87">
        <v>9990.3727995589998</v>
      </c>
      <c r="J87">
        <v>333.3</v>
      </c>
      <c r="K87" t="s">
        <v>11</v>
      </c>
      <c r="L87" t="str">
        <f t="shared" si="1"/>
        <v>CD</v>
      </c>
    </row>
    <row r="88" spans="1:12" x14ac:dyDescent="0.3">
      <c r="A88">
        <v>86</v>
      </c>
      <c r="B88">
        <v>86</v>
      </c>
      <c r="C88">
        <v>1991</v>
      </c>
      <c r="D88" t="s">
        <v>18</v>
      </c>
      <c r="E88">
        <v>5.7</v>
      </c>
      <c r="F88">
        <v>80.840557269000001</v>
      </c>
      <c r="G88">
        <v>8.0840557268999996E-2</v>
      </c>
      <c r="H88">
        <v>14.1825539068421</v>
      </c>
      <c r="I88">
        <v>80.840557269000001</v>
      </c>
      <c r="J88">
        <v>5.7</v>
      </c>
      <c r="K88" t="s">
        <v>11</v>
      </c>
      <c r="L88" t="str">
        <f t="shared" si="1"/>
        <v>CD Single</v>
      </c>
    </row>
    <row r="89" spans="1:12" x14ac:dyDescent="0.3">
      <c r="A89">
        <v>87</v>
      </c>
      <c r="B89">
        <v>87</v>
      </c>
      <c r="C89">
        <v>1991</v>
      </c>
      <c r="D89" t="s">
        <v>12</v>
      </c>
      <c r="E89">
        <v>360.1</v>
      </c>
      <c r="F89">
        <v>6954.5910748899996</v>
      </c>
      <c r="G89">
        <v>6.9545910748899997</v>
      </c>
      <c r="H89">
        <v>19.312943834740299</v>
      </c>
      <c r="I89">
        <v>6954.5910748899996</v>
      </c>
      <c r="J89">
        <v>360.1</v>
      </c>
      <c r="K89" t="s">
        <v>11</v>
      </c>
      <c r="L89" t="str">
        <f t="shared" si="1"/>
        <v>Cassette</v>
      </c>
    </row>
    <row r="90" spans="1:12" x14ac:dyDescent="0.3">
      <c r="A90">
        <v>88</v>
      </c>
      <c r="B90">
        <v>88</v>
      </c>
      <c r="C90">
        <v>1991</v>
      </c>
      <c r="D90" t="s">
        <v>17</v>
      </c>
      <c r="E90">
        <v>69</v>
      </c>
      <c r="F90">
        <v>530.64570925099997</v>
      </c>
      <c r="G90">
        <v>0.53064570925099996</v>
      </c>
      <c r="H90">
        <v>7.6905175253768103</v>
      </c>
      <c r="I90">
        <v>530.64570925099997</v>
      </c>
      <c r="J90">
        <v>69</v>
      </c>
      <c r="K90" t="s">
        <v>11</v>
      </c>
      <c r="L90" t="str">
        <f t="shared" si="1"/>
        <v>Cassette Single</v>
      </c>
    </row>
    <row r="91" spans="1:12" x14ac:dyDescent="0.3">
      <c r="A91">
        <v>89</v>
      </c>
      <c r="B91">
        <v>89</v>
      </c>
      <c r="C91">
        <v>1991</v>
      </c>
      <c r="D91" t="s">
        <v>13</v>
      </c>
      <c r="E91">
        <v>4.8</v>
      </c>
      <c r="F91">
        <v>67.712603524000002</v>
      </c>
      <c r="G91">
        <v>6.7712603524000006E-2</v>
      </c>
      <c r="H91">
        <v>14.106792400833299</v>
      </c>
      <c r="I91">
        <v>67.712603524000002</v>
      </c>
      <c r="J91">
        <v>4.8</v>
      </c>
      <c r="K91" t="s">
        <v>11</v>
      </c>
      <c r="L91" t="str">
        <f t="shared" si="1"/>
        <v>LP/EP</v>
      </c>
    </row>
    <row r="92" spans="1:12" x14ac:dyDescent="0.3">
      <c r="A92">
        <v>90</v>
      </c>
      <c r="B92">
        <v>90</v>
      </c>
      <c r="C92">
        <v>1991</v>
      </c>
      <c r="D92" t="s">
        <v>19</v>
      </c>
      <c r="E92">
        <v>6.1</v>
      </c>
      <c r="F92">
        <v>272.001988987</v>
      </c>
      <c r="G92">
        <v>0.27200198898700001</v>
      </c>
      <c r="H92">
        <v>44.590489997868801</v>
      </c>
      <c r="I92">
        <v>272.001988987</v>
      </c>
      <c r="J92">
        <v>6.1</v>
      </c>
      <c r="K92" t="s">
        <v>11</v>
      </c>
      <c r="L92" t="str">
        <f t="shared" si="1"/>
        <v>Music Video (Physical)</v>
      </c>
    </row>
    <row r="93" spans="1:12" x14ac:dyDescent="0.3">
      <c r="A93">
        <v>91</v>
      </c>
      <c r="B93">
        <v>91</v>
      </c>
      <c r="C93">
        <v>1991</v>
      </c>
      <c r="D93" t="s">
        <v>15</v>
      </c>
      <c r="E93">
        <v>22</v>
      </c>
      <c r="F93">
        <v>147.17127092499999</v>
      </c>
      <c r="G93">
        <v>0.14717127092499999</v>
      </c>
      <c r="H93">
        <v>6.6896032238636298</v>
      </c>
      <c r="I93">
        <v>147.17127092499999</v>
      </c>
      <c r="J93">
        <v>22</v>
      </c>
      <c r="K93" t="s">
        <v>11</v>
      </c>
      <c r="L93" t="str">
        <f t="shared" si="1"/>
        <v>Vinyl Single</v>
      </c>
    </row>
    <row r="94" spans="1:12" x14ac:dyDescent="0.3">
      <c r="A94">
        <v>92</v>
      </c>
      <c r="B94">
        <v>92</v>
      </c>
      <c r="C94">
        <v>1992</v>
      </c>
      <c r="D94" t="s">
        <v>16</v>
      </c>
      <c r="E94">
        <v>407.5</v>
      </c>
      <c r="F94">
        <v>11909.226361368001</v>
      </c>
      <c r="G94">
        <v>11.909226361368001</v>
      </c>
      <c r="H94">
        <v>29.2250953653202</v>
      </c>
      <c r="I94">
        <v>11909.226361368001</v>
      </c>
      <c r="J94">
        <v>407.5</v>
      </c>
      <c r="K94" t="s">
        <v>11</v>
      </c>
      <c r="L94" t="str">
        <f t="shared" si="1"/>
        <v>CD</v>
      </c>
    </row>
    <row r="95" spans="1:12" x14ac:dyDescent="0.3">
      <c r="A95">
        <v>93</v>
      </c>
      <c r="B95">
        <v>93</v>
      </c>
      <c r="C95">
        <v>1992</v>
      </c>
      <c r="D95" t="s">
        <v>18</v>
      </c>
      <c r="E95">
        <v>7.3</v>
      </c>
      <c r="F95">
        <v>100.836592302</v>
      </c>
      <c r="G95">
        <v>0.100836592302</v>
      </c>
      <c r="H95">
        <v>13.8132318221917</v>
      </c>
      <c r="I95">
        <v>100.836592302</v>
      </c>
      <c r="J95">
        <v>7.3</v>
      </c>
      <c r="K95" t="s">
        <v>11</v>
      </c>
      <c r="L95" t="str">
        <f t="shared" si="1"/>
        <v>CD Single</v>
      </c>
    </row>
    <row r="96" spans="1:12" x14ac:dyDescent="0.3">
      <c r="A96">
        <v>94</v>
      </c>
      <c r="B96">
        <v>94</v>
      </c>
      <c r="C96">
        <v>1992</v>
      </c>
      <c r="D96" t="s">
        <v>12</v>
      </c>
      <c r="E96">
        <v>366.4</v>
      </c>
      <c r="F96">
        <v>6967.5625851750001</v>
      </c>
      <c r="G96">
        <v>6.967562585175</v>
      </c>
      <c r="H96">
        <v>19.016273431154399</v>
      </c>
      <c r="I96">
        <v>6967.5625851750001</v>
      </c>
      <c r="J96">
        <v>366.4</v>
      </c>
      <c r="K96" t="s">
        <v>11</v>
      </c>
      <c r="L96" t="str">
        <f t="shared" si="1"/>
        <v>Cassette</v>
      </c>
    </row>
    <row r="97" spans="1:12" x14ac:dyDescent="0.3">
      <c r="A97">
        <v>95</v>
      </c>
      <c r="B97">
        <v>95</v>
      </c>
      <c r="C97">
        <v>1992</v>
      </c>
      <c r="D97" t="s">
        <v>17</v>
      </c>
      <c r="E97">
        <v>84.6</v>
      </c>
      <c r="F97">
        <v>668.07037205999995</v>
      </c>
      <c r="G97">
        <v>0.66807037205999997</v>
      </c>
      <c r="H97">
        <v>7.89681290851063</v>
      </c>
      <c r="I97">
        <v>668.07037205999995</v>
      </c>
      <c r="J97">
        <v>84.6</v>
      </c>
      <c r="K97" t="s">
        <v>11</v>
      </c>
      <c r="L97" t="str">
        <f t="shared" si="1"/>
        <v>Cassette Single</v>
      </c>
    </row>
    <row r="98" spans="1:12" x14ac:dyDescent="0.3">
      <c r="A98">
        <v>96</v>
      </c>
      <c r="B98">
        <v>96</v>
      </c>
      <c r="C98">
        <v>1992</v>
      </c>
      <c r="D98" t="s">
        <v>13</v>
      </c>
      <c r="E98">
        <v>2.2999999999999998</v>
      </c>
      <c r="F98">
        <v>30.183902352</v>
      </c>
      <c r="G98">
        <v>3.0183902352000001E-2</v>
      </c>
      <c r="H98">
        <v>13.1234358052173</v>
      </c>
      <c r="I98">
        <v>30.183902352</v>
      </c>
      <c r="J98">
        <v>2.2999999999999998</v>
      </c>
      <c r="K98" t="s">
        <v>11</v>
      </c>
      <c r="L98" t="str">
        <f t="shared" si="1"/>
        <v>LP/EP</v>
      </c>
    </row>
    <row r="99" spans="1:12" x14ac:dyDescent="0.3">
      <c r="A99">
        <v>97</v>
      </c>
      <c r="B99">
        <v>97</v>
      </c>
      <c r="C99">
        <v>1992</v>
      </c>
      <c r="D99" t="s">
        <v>19</v>
      </c>
      <c r="E99">
        <v>7.6</v>
      </c>
      <c r="F99">
        <v>351.92194297899999</v>
      </c>
      <c r="G99">
        <v>0.35192194297899998</v>
      </c>
      <c r="H99">
        <v>46.305518813026303</v>
      </c>
      <c r="I99">
        <v>351.92194297899999</v>
      </c>
      <c r="J99">
        <v>7.6</v>
      </c>
      <c r="K99" t="s">
        <v>11</v>
      </c>
      <c r="L99" t="str">
        <f t="shared" si="1"/>
        <v>Music Video (Physical)</v>
      </c>
    </row>
    <row r="100" spans="1:12" x14ac:dyDescent="0.3">
      <c r="A100">
        <v>98</v>
      </c>
      <c r="B100">
        <v>98</v>
      </c>
      <c r="C100">
        <v>1992</v>
      </c>
      <c r="D100" t="s">
        <v>15</v>
      </c>
      <c r="E100">
        <v>19.8</v>
      </c>
      <c r="F100">
        <v>148.46008268</v>
      </c>
      <c r="G100">
        <v>0.14846008267999999</v>
      </c>
      <c r="H100">
        <v>7.4979839737373704</v>
      </c>
      <c r="I100">
        <v>148.46008268</v>
      </c>
      <c r="J100">
        <v>19.8</v>
      </c>
      <c r="K100" t="s">
        <v>11</v>
      </c>
      <c r="L100" t="str">
        <f t="shared" si="1"/>
        <v>Vinyl Single</v>
      </c>
    </row>
    <row r="101" spans="1:12" x14ac:dyDescent="0.3">
      <c r="A101">
        <v>99</v>
      </c>
      <c r="B101">
        <v>99</v>
      </c>
      <c r="C101">
        <v>1993</v>
      </c>
      <c r="D101" t="s">
        <v>16</v>
      </c>
      <c r="E101">
        <v>495.4</v>
      </c>
      <c r="F101">
        <v>14135.325637370001</v>
      </c>
      <c r="G101">
        <v>14.13532563737</v>
      </c>
      <c r="H101">
        <v>28.533156312817901</v>
      </c>
      <c r="I101">
        <v>14135.325637370001</v>
      </c>
      <c r="J101">
        <v>495.4</v>
      </c>
      <c r="K101" t="s">
        <v>11</v>
      </c>
      <c r="L101" t="str">
        <f t="shared" si="1"/>
        <v>CD</v>
      </c>
    </row>
    <row r="102" spans="1:12" x14ac:dyDescent="0.3">
      <c r="A102">
        <v>100</v>
      </c>
      <c r="B102">
        <v>100</v>
      </c>
      <c r="C102">
        <v>1993</v>
      </c>
      <c r="D102" t="s">
        <v>18</v>
      </c>
      <c r="E102">
        <v>7.8</v>
      </c>
      <c r="F102">
        <v>99.425302422000001</v>
      </c>
      <c r="G102">
        <v>9.9425302421999998E-2</v>
      </c>
      <c r="H102">
        <v>12.746833643846101</v>
      </c>
      <c r="I102">
        <v>99.425302422000001</v>
      </c>
      <c r="J102">
        <v>7.8</v>
      </c>
      <c r="K102" t="s">
        <v>11</v>
      </c>
      <c r="L102" t="str">
        <f t="shared" si="1"/>
        <v>CD Single</v>
      </c>
    </row>
    <row r="103" spans="1:12" x14ac:dyDescent="0.3">
      <c r="A103">
        <v>101</v>
      </c>
      <c r="B103">
        <v>101</v>
      </c>
      <c r="C103">
        <v>1993</v>
      </c>
      <c r="D103" t="s">
        <v>12</v>
      </c>
      <c r="E103">
        <v>339.5</v>
      </c>
      <c r="F103">
        <v>6329.788139792</v>
      </c>
      <c r="G103">
        <v>6.3297881397919999</v>
      </c>
      <c r="H103">
        <v>18.644442237973401</v>
      </c>
      <c r="I103">
        <v>6329.788139792</v>
      </c>
      <c r="J103">
        <v>339.5</v>
      </c>
      <c r="K103" t="s">
        <v>11</v>
      </c>
      <c r="L103" t="str">
        <f t="shared" si="1"/>
        <v>Cassette</v>
      </c>
    </row>
    <row r="104" spans="1:12" x14ac:dyDescent="0.3">
      <c r="A104">
        <v>102</v>
      </c>
      <c r="B104">
        <v>102</v>
      </c>
      <c r="C104">
        <v>1993</v>
      </c>
      <c r="D104" t="s">
        <v>17</v>
      </c>
      <c r="E104">
        <v>85.6</v>
      </c>
      <c r="F104">
        <v>648.00115224900003</v>
      </c>
      <c r="G104">
        <v>0.64800115224900001</v>
      </c>
      <c r="H104">
        <v>7.5701069187967303</v>
      </c>
      <c r="I104">
        <v>648.00115224900003</v>
      </c>
      <c r="J104">
        <v>85.6</v>
      </c>
      <c r="K104" t="s">
        <v>11</v>
      </c>
      <c r="L104" t="str">
        <f t="shared" si="1"/>
        <v>Cassette Single</v>
      </c>
    </row>
    <row r="105" spans="1:12" x14ac:dyDescent="0.3">
      <c r="A105">
        <v>103</v>
      </c>
      <c r="B105">
        <v>103</v>
      </c>
      <c r="C105">
        <v>1993</v>
      </c>
      <c r="D105" t="s">
        <v>13</v>
      </c>
      <c r="E105">
        <v>1.2</v>
      </c>
      <c r="F105">
        <v>23.011096194</v>
      </c>
      <c r="G105">
        <v>2.3011096193999998E-2</v>
      </c>
      <c r="H105">
        <v>19.175913495</v>
      </c>
      <c r="I105">
        <v>23.011096194</v>
      </c>
      <c r="J105">
        <v>1.2</v>
      </c>
      <c r="K105" t="s">
        <v>11</v>
      </c>
      <c r="L105" t="str">
        <f t="shared" si="1"/>
        <v>LP/EP</v>
      </c>
    </row>
    <row r="106" spans="1:12" x14ac:dyDescent="0.3">
      <c r="A106">
        <v>104</v>
      </c>
      <c r="B106">
        <v>104</v>
      </c>
      <c r="C106">
        <v>1993</v>
      </c>
      <c r="D106" t="s">
        <v>19</v>
      </c>
      <c r="E106">
        <v>11</v>
      </c>
      <c r="F106">
        <v>463.044039446</v>
      </c>
      <c r="G106">
        <v>0.46304403944599998</v>
      </c>
      <c r="H106">
        <v>42.094912676908997</v>
      </c>
      <c r="I106">
        <v>463.044039446</v>
      </c>
      <c r="J106">
        <v>11</v>
      </c>
      <c r="K106" t="s">
        <v>11</v>
      </c>
      <c r="L106" t="str">
        <f t="shared" si="1"/>
        <v>Music Video (Physical)</v>
      </c>
    </row>
    <row r="107" spans="1:12" x14ac:dyDescent="0.3">
      <c r="A107">
        <v>105</v>
      </c>
      <c r="B107">
        <v>105</v>
      </c>
      <c r="C107">
        <v>1993</v>
      </c>
      <c r="D107" t="s">
        <v>15</v>
      </c>
      <c r="E107">
        <v>15.1</v>
      </c>
      <c r="F107">
        <v>111.147936332</v>
      </c>
      <c r="G107">
        <v>0.111147936332</v>
      </c>
      <c r="H107">
        <v>7.3607904855629096</v>
      </c>
      <c r="I107">
        <v>111.147936332</v>
      </c>
      <c r="J107">
        <v>15.1</v>
      </c>
      <c r="K107" t="s">
        <v>11</v>
      </c>
      <c r="L107" t="str">
        <f t="shared" si="1"/>
        <v>Vinyl Single</v>
      </c>
    </row>
    <row r="108" spans="1:12" x14ac:dyDescent="0.3">
      <c r="A108">
        <v>106</v>
      </c>
      <c r="B108">
        <v>106</v>
      </c>
      <c r="C108">
        <v>1994</v>
      </c>
      <c r="D108" t="s">
        <v>16</v>
      </c>
      <c r="E108">
        <v>662.1</v>
      </c>
      <c r="F108">
        <v>17916.467884614998</v>
      </c>
      <c r="G108">
        <v>17.916467884614999</v>
      </c>
      <c r="H108">
        <v>27.060063260255198</v>
      </c>
      <c r="I108">
        <v>17916.467884614998</v>
      </c>
      <c r="J108">
        <v>662.1</v>
      </c>
      <c r="K108" t="s">
        <v>11</v>
      </c>
      <c r="L108" t="str">
        <f t="shared" si="1"/>
        <v>CD</v>
      </c>
    </row>
    <row r="109" spans="1:12" x14ac:dyDescent="0.3">
      <c r="A109">
        <v>107</v>
      </c>
      <c r="B109">
        <v>107</v>
      </c>
      <c r="C109">
        <v>1994</v>
      </c>
      <c r="D109" t="s">
        <v>18</v>
      </c>
      <c r="E109">
        <v>9.3000000000000007</v>
      </c>
      <c r="F109">
        <v>118.74462145699999</v>
      </c>
      <c r="G109">
        <v>0.118744621457</v>
      </c>
      <c r="H109">
        <v>12.768238866343999</v>
      </c>
      <c r="I109">
        <v>118.74462145699999</v>
      </c>
      <c r="J109">
        <v>9.3000000000000007</v>
      </c>
      <c r="K109" t="s">
        <v>11</v>
      </c>
      <c r="L109" t="str">
        <f t="shared" si="1"/>
        <v>CD Single</v>
      </c>
    </row>
    <row r="110" spans="1:12" x14ac:dyDescent="0.3">
      <c r="A110">
        <v>108</v>
      </c>
      <c r="B110">
        <v>108</v>
      </c>
      <c r="C110">
        <v>1994</v>
      </c>
      <c r="D110" t="s">
        <v>12</v>
      </c>
      <c r="E110">
        <v>345.4</v>
      </c>
      <c r="F110">
        <v>6300.0265829959999</v>
      </c>
      <c r="G110">
        <v>6.3000265829959998</v>
      </c>
      <c r="H110">
        <v>18.239799024307999</v>
      </c>
      <c r="I110">
        <v>6300.0265829959999</v>
      </c>
      <c r="J110">
        <v>345.4</v>
      </c>
      <c r="K110" t="s">
        <v>11</v>
      </c>
      <c r="L110" t="str">
        <f t="shared" si="1"/>
        <v>Cassette</v>
      </c>
    </row>
    <row r="111" spans="1:12" x14ac:dyDescent="0.3">
      <c r="A111">
        <v>109</v>
      </c>
      <c r="B111">
        <v>109</v>
      </c>
      <c r="C111">
        <v>1994</v>
      </c>
      <c r="D111" t="s">
        <v>17</v>
      </c>
      <c r="E111">
        <v>81.099999999999994</v>
      </c>
      <c r="F111">
        <v>581.86981174100003</v>
      </c>
      <c r="G111">
        <v>0.58186981174100005</v>
      </c>
      <c r="H111">
        <v>7.1747202434155302</v>
      </c>
      <c r="I111">
        <v>581.86981174100003</v>
      </c>
      <c r="J111">
        <v>81.099999999999994</v>
      </c>
      <c r="K111" t="s">
        <v>11</v>
      </c>
      <c r="L111" t="str">
        <f t="shared" si="1"/>
        <v>Cassette Single</v>
      </c>
    </row>
    <row r="112" spans="1:12" x14ac:dyDescent="0.3">
      <c r="A112">
        <v>110</v>
      </c>
      <c r="B112">
        <v>110</v>
      </c>
      <c r="C112">
        <v>1994</v>
      </c>
      <c r="D112" t="s">
        <v>13</v>
      </c>
      <c r="E112">
        <v>1.9</v>
      </c>
      <c r="F112">
        <v>37.676546559000002</v>
      </c>
      <c r="G112">
        <v>3.7676546558999997E-2</v>
      </c>
      <c r="H112">
        <v>19.829761346842101</v>
      </c>
      <c r="I112">
        <v>37.676546559000002</v>
      </c>
      <c r="J112">
        <v>1.9</v>
      </c>
      <c r="K112" t="s">
        <v>11</v>
      </c>
      <c r="L112" t="str">
        <f t="shared" si="1"/>
        <v>LP/EP</v>
      </c>
    </row>
    <row r="113" spans="1:12" x14ac:dyDescent="0.3">
      <c r="A113">
        <v>111</v>
      </c>
      <c r="B113">
        <v>111</v>
      </c>
      <c r="C113">
        <v>1994</v>
      </c>
      <c r="D113" t="s">
        <v>19</v>
      </c>
      <c r="E113">
        <v>11.2</v>
      </c>
      <c r="F113">
        <v>489.16010728700002</v>
      </c>
      <c r="G113">
        <v>0.48916010728699999</v>
      </c>
      <c r="H113">
        <v>43.675009579196399</v>
      </c>
      <c r="I113">
        <v>489.16010728700002</v>
      </c>
      <c r="J113">
        <v>11.2</v>
      </c>
      <c r="K113" t="s">
        <v>11</v>
      </c>
      <c r="L113" t="str">
        <f t="shared" si="1"/>
        <v>Music Video (Physical)</v>
      </c>
    </row>
    <row r="114" spans="1:12" x14ac:dyDescent="0.3">
      <c r="A114">
        <v>112</v>
      </c>
      <c r="B114">
        <v>112</v>
      </c>
      <c r="C114">
        <v>1994</v>
      </c>
      <c r="D114" t="s">
        <v>15</v>
      </c>
      <c r="E114">
        <v>11.7</v>
      </c>
      <c r="F114">
        <v>99.906348178000002</v>
      </c>
      <c r="G114">
        <v>9.9906348177999996E-2</v>
      </c>
      <c r="H114">
        <v>8.53900411777777</v>
      </c>
      <c r="I114">
        <v>99.906348178000002</v>
      </c>
      <c r="J114">
        <v>11.7</v>
      </c>
      <c r="K114" t="s">
        <v>11</v>
      </c>
      <c r="L114" t="str">
        <f t="shared" si="1"/>
        <v>Vinyl Single</v>
      </c>
    </row>
    <row r="115" spans="1:12" x14ac:dyDescent="0.3">
      <c r="A115">
        <v>113</v>
      </c>
      <c r="B115">
        <v>113</v>
      </c>
      <c r="C115">
        <v>1995</v>
      </c>
      <c r="D115" t="s">
        <v>16</v>
      </c>
      <c r="E115">
        <v>722.9</v>
      </c>
      <c r="F115">
        <v>19301.753468504001</v>
      </c>
      <c r="G115">
        <v>19.301753468504</v>
      </c>
      <c r="H115">
        <v>26.700447459543501</v>
      </c>
      <c r="I115">
        <v>19301.753468504001</v>
      </c>
      <c r="J115">
        <v>722.9</v>
      </c>
      <c r="K115" t="s">
        <v>11</v>
      </c>
      <c r="L115" t="str">
        <f t="shared" si="1"/>
        <v>CD</v>
      </c>
    </row>
    <row r="116" spans="1:12" x14ac:dyDescent="0.3">
      <c r="A116">
        <v>114</v>
      </c>
      <c r="B116">
        <v>114</v>
      </c>
      <c r="C116">
        <v>1995</v>
      </c>
      <c r="D116" t="s">
        <v>18</v>
      </c>
      <c r="E116">
        <v>21.5</v>
      </c>
      <c r="F116">
        <v>228.268438976</v>
      </c>
      <c r="G116">
        <v>0.22826843897599999</v>
      </c>
      <c r="H116">
        <v>10.6171366965581</v>
      </c>
      <c r="I116">
        <v>228.268438976</v>
      </c>
      <c r="J116">
        <v>21.5</v>
      </c>
      <c r="K116" t="s">
        <v>11</v>
      </c>
      <c r="L116" t="str">
        <f t="shared" si="1"/>
        <v>CD Single</v>
      </c>
    </row>
    <row r="117" spans="1:12" x14ac:dyDescent="0.3">
      <c r="A117">
        <v>115</v>
      </c>
      <c r="B117">
        <v>115</v>
      </c>
      <c r="C117">
        <v>1995</v>
      </c>
      <c r="D117" t="s">
        <v>12</v>
      </c>
      <c r="E117">
        <v>272.60000000000002</v>
      </c>
      <c r="F117">
        <v>4741.5615511810001</v>
      </c>
      <c r="G117">
        <v>4.7415615511810003</v>
      </c>
      <c r="H117">
        <v>17.3938428143103</v>
      </c>
      <c r="I117">
        <v>4741.5615511810001</v>
      </c>
      <c r="J117">
        <v>272.60000000000002</v>
      </c>
      <c r="K117" t="s">
        <v>11</v>
      </c>
      <c r="L117" t="str">
        <f t="shared" si="1"/>
        <v>Cassette</v>
      </c>
    </row>
    <row r="118" spans="1:12" x14ac:dyDescent="0.3">
      <c r="A118">
        <v>116</v>
      </c>
      <c r="B118">
        <v>116</v>
      </c>
      <c r="C118">
        <v>1995</v>
      </c>
      <c r="D118" t="s">
        <v>17</v>
      </c>
      <c r="E118">
        <v>70.7</v>
      </c>
      <c r="F118">
        <v>486.38261614200002</v>
      </c>
      <c r="G118">
        <v>0.48638261614200001</v>
      </c>
      <c r="H118">
        <v>6.8795278096463903</v>
      </c>
      <c r="I118">
        <v>486.38261614200002</v>
      </c>
      <c r="J118">
        <v>70.7</v>
      </c>
      <c r="K118" t="s">
        <v>11</v>
      </c>
      <c r="L118" t="str">
        <f t="shared" si="1"/>
        <v>Cassette Single</v>
      </c>
    </row>
    <row r="119" spans="1:12" x14ac:dyDescent="0.3">
      <c r="A119">
        <v>117</v>
      </c>
      <c r="B119">
        <v>117</v>
      </c>
      <c r="C119">
        <v>1995</v>
      </c>
      <c r="D119" t="s">
        <v>13</v>
      </c>
      <c r="E119">
        <v>2.2000000000000002</v>
      </c>
      <c r="F119">
        <v>51.664001968999997</v>
      </c>
      <c r="G119">
        <v>5.1664001968999999E-2</v>
      </c>
      <c r="H119">
        <v>23.4836372586363</v>
      </c>
      <c r="I119">
        <v>51.664001968999997</v>
      </c>
      <c r="J119">
        <v>2.2000000000000002</v>
      </c>
      <c r="K119" t="s">
        <v>11</v>
      </c>
      <c r="L119" t="str">
        <f t="shared" si="1"/>
        <v>LP/EP</v>
      </c>
    </row>
    <row r="120" spans="1:12" x14ac:dyDescent="0.3">
      <c r="A120">
        <v>118</v>
      </c>
      <c r="B120">
        <v>118</v>
      </c>
      <c r="C120">
        <v>1995</v>
      </c>
      <c r="D120" t="s">
        <v>19</v>
      </c>
      <c r="E120">
        <v>12.6</v>
      </c>
      <c r="F120">
        <v>453.44938779500001</v>
      </c>
      <c r="G120">
        <v>0.45344938779499999</v>
      </c>
      <c r="H120">
        <v>35.988046650396797</v>
      </c>
      <c r="I120">
        <v>453.44938779500001</v>
      </c>
      <c r="J120">
        <v>12.6</v>
      </c>
      <c r="K120" t="s">
        <v>11</v>
      </c>
      <c r="L120" t="str">
        <f t="shared" si="1"/>
        <v>Music Video (Physical)</v>
      </c>
    </row>
    <row r="121" spans="1:12" x14ac:dyDescent="0.3">
      <c r="A121">
        <v>119</v>
      </c>
      <c r="B121">
        <v>119</v>
      </c>
      <c r="C121">
        <v>1995</v>
      </c>
      <c r="D121" t="s">
        <v>15</v>
      </c>
      <c r="E121">
        <v>10.199999999999999</v>
      </c>
      <c r="F121">
        <v>96.123860235999999</v>
      </c>
      <c r="G121">
        <v>9.6123860236000003E-2</v>
      </c>
      <c r="H121">
        <v>9.4239078662745097</v>
      </c>
      <c r="I121">
        <v>96.123860235999999</v>
      </c>
      <c r="J121">
        <v>10.199999999999999</v>
      </c>
      <c r="K121" t="s">
        <v>11</v>
      </c>
      <c r="L121" t="str">
        <f t="shared" si="1"/>
        <v>Vinyl Single</v>
      </c>
    </row>
    <row r="122" spans="1:12" x14ac:dyDescent="0.3">
      <c r="A122">
        <v>120</v>
      </c>
      <c r="B122">
        <v>120</v>
      </c>
      <c r="C122">
        <v>1996</v>
      </c>
      <c r="D122" t="s">
        <v>16</v>
      </c>
      <c r="E122">
        <v>778.9</v>
      </c>
      <c r="F122">
        <v>19862.371627150998</v>
      </c>
      <c r="G122">
        <v>19.862371627150999</v>
      </c>
      <c r="H122">
        <v>25.5005413110168</v>
      </c>
      <c r="I122">
        <v>19862.371627150998</v>
      </c>
      <c r="J122">
        <v>778.9</v>
      </c>
      <c r="K122" t="s">
        <v>11</v>
      </c>
      <c r="L122" t="str">
        <f t="shared" si="1"/>
        <v>CD</v>
      </c>
    </row>
    <row r="123" spans="1:12" x14ac:dyDescent="0.3">
      <c r="A123">
        <v>121</v>
      </c>
      <c r="B123">
        <v>121</v>
      </c>
      <c r="C123">
        <v>1996</v>
      </c>
      <c r="D123" t="s">
        <v>18</v>
      </c>
      <c r="E123">
        <v>43.2</v>
      </c>
      <c r="F123">
        <v>368.06975717</v>
      </c>
      <c r="G123">
        <v>0.36806975717000001</v>
      </c>
      <c r="H123">
        <v>8.52013326782407</v>
      </c>
      <c r="I123">
        <v>368.06975717</v>
      </c>
      <c r="J123">
        <v>43.2</v>
      </c>
      <c r="K123" t="s">
        <v>11</v>
      </c>
      <c r="L123" t="str">
        <f t="shared" si="1"/>
        <v>CD Single</v>
      </c>
    </row>
    <row r="124" spans="1:12" x14ac:dyDescent="0.3">
      <c r="A124">
        <v>122</v>
      </c>
      <c r="B124">
        <v>122</v>
      </c>
      <c r="C124">
        <v>1996</v>
      </c>
      <c r="D124" t="s">
        <v>12</v>
      </c>
      <c r="E124">
        <v>225.3</v>
      </c>
      <c r="F124">
        <v>3809.2520822179999</v>
      </c>
      <c r="G124">
        <v>3.8092520822179998</v>
      </c>
      <c r="H124">
        <v>16.907465966347001</v>
      </c>
      <c r="I124">
        <v>3809.2520822179999</v>
      </c>
      <c r="J124">
        <v>225.3</v>
      </c>
      <c r="K124" t="s">
        <v>11</v>
      </c>
      <c r="L124" t="str">
        <f t="shared" si="1"/>
        <v>Cassette</v>
      </c>
    </row>
    <row r="125" spans="1:12" x14ac:dyDescent="0.3">
      <c r="A125">
        <v>123</v>
      </c>
      <c r="B125">
        <v>123</v>
      </c>
      <c r="C125">
        <v>1996</v>
      </c>
      <c r="D125" t="s">
        <v>17</v>
      </c>
      <c r="E125">
        <v>59.9</v>
      </c>
      <c r="F125">
        <v>378.46607839400002</v>
      </c>
      <c r="G125">
        <v>0.37846607839399998</v>
      </c>
      <c r="H125">
        <v>6.3182984706844696</v>
      </c>
      <c r="I125">
        <v>378.46607839400002</v>
      </c>
      <c r="J125">
        <v>59.9</v>
      </c>
      <c r="K125" t="s">
        <v>11</v>
      </c>
      <c r="L125" t="str">
        <f t="shared" si="1"/>
        <v>Cassette Single</v>
      </c>
    </row>
    <row r="126" spans="1:12" x14ac:dyDescent="0.3">
      <c r="A126">
        <v>124</v>
      </c>
      <c r="B126">
        <v>124</v>
      </c>
      <c r="C126">
        <v>1996</v>
      </c>
      <c r="D126" t="s">
        <v>13</v>
      </c>
      <c r="E126">
        <v>2.9</v>
      </c>
      <c r="F126">
        <v>73.573965583000003</v>
      </c>
      <c r="G126">
        <v>7.3573965583000001E-2</v>
      </c>
      <c r="H126">
        <v>25.370332959655101</v>
      </c>
      <c r="I126">
        <v>73.573965583000003</v>
      </c>
      <c r="J126">
        <v>2.9</v>
      </c>
      <c r="K126" t="s">
        <v>11</v>
      </c>
      <c r="L126" t="str">
        <f t="shared" si="1"/>
        <v>LP/EP</v>
      </c>
    </row>
    <row r="127" spans="1:12" x14ac:dyDescent="0.3">
      <c r="A127">
        <v>125</v>
      </c>
      <c r="B127">
        <v>125</v>
      </c>
      <c r="C127">
        <v>1996</v>
      </c>
      <c r="D127" t="s">
        <v>19</v>
      </c>
      <c r="E127">
        <v>16.899999999999999</v>
      </c>
      <c r="F127">
        <v>472.032969407</v>
      </c>
      <c r="G127">
        <v>0.47203296940700001</v>
      </c>
      <c r="H127">
        <v>27.9309449353254</v>
      </c>
      <c r="I127">
        <v>472.032969407</v>
      </c>
      <c r="J127">
        <v>16.899999999999999</v>
      </c>
      <c r="K127" t="s">
        <v>11</v>
      </c>
      <c r="L127" t="str">
        <f t="shared" si="1"/>
        <v>Music Video (Physical)</v>
      </c>
    </row>
    <row r="128" spans="1:12" x14ac:dyDescent="0.3">
      <c r="A128">
        <v>126</v>
      </c>
      <c r="B128">
        <v>126</v>
      </c>
      <c r="C128">
        <v>1996</v>
      </c>
      <c r="D128" t="s">
        <v>15</v>
      </c>
      <c r="E128">
        <v>10.1</v>
      </c>
      <c r="F128">
        <v>94.966395793000004</v>
      </c>
      <c r="G128">
        <v>9.4966395792999994E-2</v>
      </c>
      <c r="H128">
        <v>9.4026134448514807</v>
      </c>
      <c r="I128">
        <v>94.966395793000004</v>
      </c>
      <c r="J128">
        <v>10.1</v>
      </c>
      <c r="K128" t="s">
        <v>11</v>
      </c>
      <c r="L128" t="str">
        <f t="shared" si="1"/>
        <v>Vinyl Single</v>
      </c>
    </row>
    <row r="129" spans="1:12" x14ac:dyDescent="0.3">
      <c r="A129">
        <v>127</v>
      </c>
      <c r="B129">
        <v>127</v>
      </c>
      <c r="C129">
        <v>1997</v>
      </c>
      <c r="D129" t="s">
        <v>16</v>
      </c>
      <c r="E129">
        <v>753.1</v>
      </c>
      <c r="F129">
        <v>19378.553295327001</v>
      </c>
      <c r="G129">
        <v>19.378553295326999</v>
      </c>
      <c r="H129">
        <v>25.7317133120794</v>
      </c>
      <c r="I129">
        <v>19378.553295327001</v>
      </c>
      <c r="J129">
        <v>753.1</v>
      </c>
      <c r="K129" t="s">
        <v>11</v>
      </c>
      <c r="L129" t="str">
        <f t="shared" si="1"/>
        <v>CD</v>
      </c>
    </row>
    <row r="130" spans="1:12" x14ac:dyDescent="0.3">
      <c r="A130">
        <v>128</v>
      </c>
      <c r="B130">
        <v>128</v>
      </c>
      <c r="C130">
        <v>1997</v>
      </c>
      <c r="D130" t="s">
        <v>18</v>
      </c>
      <c r="E130">
        <v>66.7</v>
      </c>
      <c r="F130">
        <v>532.97813270999995</v>
      </c>
      <c r="G130">
        <v>0.53297813270999905</v>
      </c>
      <c r="H130">
        <v>7.9906766523238302</v>
      </c>
      <c r="I130">
        <v>532.97813270999995</v>
      </c>
      <c r="J130">
        <v>66.7</v>
      </c>
      <c r="K130" t="s">
        <v>11</v>
      </c>
      <c r="L130" t="str">
        <f t="shared" si="1"/>
        <v>CD Single</v>
      </c>
    </row>
    <row r="131" spans="1:12" x14ac:dyDescent="0.3">
      <c r="A131">
        <v>129</v>
      </c>
      <c r="B131">
        <v>129</v>
      </c>
      <c r="C131">
        <v>1997</v>
      </c>
      <c r="D131" t="s">
        <v>12</v>
      </c>
      <c r="E131">
        <v>172.6</v>
      </c>
      <c r="F131">
        <v>2976.0388803740002</v>
      </c>
      <c r="G131">
        <v>2.9760388803739999</v>
      </c>
      <c r="H131">
        <v>17.242403710162201</v>
      </c>
      <c r="I131">
        <v>2976.0388803740002</v>
      </c>
      <c r="J131">
        <v>172.6</v>
      </c>
      <c r="K131" t="s">
        <v>11</v>
      </c>
      <c r="L131" t="str">
        <f t="shared" ref="L131:L194" si="2">D131</f>
        <v>Cassette</v>
      </c>
    </row>
    <row r="132" spans="1:12" x14ac:dyDescent="0.3">
      <c r="A132">
        <v>130</v>
      </c>
      <c r="B132">
        <v>130</v>
      </c>
      <c r="C132">
        <v>1997</v>
      </c>
      <c r="D132" t="s">
        <v>17</v>
      </c>
      <c r="E132">
        <v>42.2</v>
      </c>
      <c r="F132">
        <v>260.91888784999998</v>
      </c>
      <c r="G132">
        <v>0.26091888785</v>
      </c>
      <c r="H132">
        <v>6.1829120343601804</v>
      </c>
      <c r="I132">
        <v>260.91888784999998</v>
      </c>
      <c r="J132">
        <v>42.2</v>
      </c>
      <c r="K132" t="s">
        <v>11</v>
      </c>
      <c r="L132" t="str">
        <f t="shared" si="2"/>
        <v>Cassette Single</v>
      </c>
    </row>
    <row r="133" spans="1:12" x14ac:dyDescent="0.3">
      <c r="A133">
        <v>131</v>
      </c>
      <c r="B133">
        <v>131</v>
      </c>
      <c r="C133">
        <v>1997</v>
      </c>
      <c r="D133" t="s">
        <v>13</v>
      </c>
      <c r="E133">
        <v>2.7</v>
      </c>
      <c r="F133">
        <v>65.083138317999996</v>
      </c>
      <c r="G133">
        <v>6.5083138318E-2</v>
      </c>
      <c r="H133">
        <v>24.104866043703701</v>
      </c>
      <c r="I133">
        <v>65.083138317999996</v>
      </c>
      <c r="J133">
        <v>2.7</v>
      </c>
      <c r="K133" t="s">
        <v>11</v>
      </c>
      <c r="L133" t="str">
        <f t="shared" si="2"/>
        <v>LP/EP</v>
      </c>
    </row>
    <row r="134" spans="1:12" x14ac:dyDescent="0.3">
      <c r="A134">
        <v>132</v>
      </c>
      <c r="B134">
        <v>132</v>
      </c>
      <c r="C134">
        <v>1997</v>
      </c>
      <c r="D134" t="s">
        <v>19</v>
      </c>
      <c r="E134">
        <v>18.600000000000001</v>
      </c>
      <c r="F134">
        <v>633.04590093499996</v>
      </c>
      <c r="G134">
        <v>0.63304590093500002</v>
      </c>
      <c r="H134">
        <v>34.034725856720399</v>
      </c>
      <c r="I134">
        <v>633.04590093499996</v>
      </c>
      <c r="J134">
        <v>18.600000000000001</v>
      </c>
      <c r="K134" t="s">
        <v>11</v>
      </c>
      <c r="L134" t="str">
        <f t="shared" si="2"/>
        <v>Music Video (Physical)</v>
      </c>
    </row>
    <row r="135" spans="1:12" x14ac:dyDescent="0.3">
      <c r="A135">
        <v>133</v>
      </c>
      <c r="B135">
        <v>133</v>
      </c>
      <c r="C135">
        <v>1997</v>
      </c>
      <c r="D135" t="s">
        <v>15</v>
      </c>
      <c r="E135">
        <v>7.5</v>
      </c>
      <c r="F135">
        <v>69.578370093000004</v>
      </c>
      <c r="G135">
        <v>6.9578370092999997E-2</v>
      </c>
      <c r="H135">
        <v>9.2771160124000005</v>
      </c>
      <c r="I135">
        <v>69.578370093000004</v>
      </c>
      <c r="J135">
        <v>7.5</v>
      </c>
      <c r="K135" t="s">
        <v>11</v>
      </c>
      <c r="L135" t="str">
        <f t="shared" si="2"/>
        <v>Vinyl Single</v>
      </c>
    </row>
    <row r="136" spans="1:12" x14ac:dyDescent="0.3">
      <c r="A136">
        <v>134</v>
      </c>
      <c r="B136">
        <v>134</v>
      </c>
      <c r="C136">
        <v>1998</v>
      </c>
      <c r="D136" t="s">
        <v>16</v>
      </c>
      <c r="E136">
        <v>847</v>
      </c>
      <c r="F136">
        <v>21969.776834355998</v>
      </c>
      <c r="G136">
        <v>21.969776834355901</v>
      </c>
      <c r="H136">
        <v>25.938343369959799</v>
      </c>
      <c r="I136">
        <v>21969.776834355998</v>
      </c>
      <c r="J136">
        <v>847</v>
      </c>
      <c r="K136" t="s">
        <v>11</v>
      </c>
      <c r="L136" t="str">
        <f t="shared" si="2"/>
        <v>CD</v>
      </c>
    </row>
    <row r="137" spans="1:12" x14ac:dyDescent="0.3">
      <c r="A137">
        <v>135</v>
      </c>
      <c r="B137">
        <v>135</v>
      </c>
      <c r="C137">
        <v>1998</v>
      </c>
      <c r="D137" t="s">
        <v>18</v>
      </c>
      <c r="E137">
        <v>56</v>
      </c>
      <c r="F137">
        <v>410.29751411000001</v>
      </c>
      <c r="G137">
        <v>0.41029751410999998</v>
      </c>
      <c r="H137">
        <v>7.3267413233928496</v>
      </c>
      <c r="I137">
        <v>410.29751411000001</v>
      </c>
      <c r="J137">
        <v>56</v>
      </c>
      <c r="K137" t="s">
        <v>11</v>
      </c>
      <c r="L137" t="str">
        <f t="shared" si="2"/>
        <v>CD Single</v>
      </c>
    </row>
    <row r="138" spans="1:12" x14ac:dyDescent="0.3">
      <c r="A138">
        <v>136</v>
      </c>
      <c r="B138">
        <v>136</v>
      </c>
      <c r="C138">
        <v>1998</v>
      </c>
      <c r="D138" t="s">
        <v>12</v>
      </c>
      <c r="E138">
        <v>158.5</v>
      </c>
      <c r="F138">
        <v>2732.5583503070002</v>
      </c>
      <c r="G138">
        <v>2.7325583503069999</v>
      </c>
      <c r="H138">
        <v>17.240115774807499</v>
      </c>
      <c r="I138">
        <v>2732.5583503070002</v>
      </c>
      <c r="J138">
        <v>158.5</v>
      </c>
      <c r="K138" t="s">
        <v>11</v>
      </c>
      <c r="L138" t="str">
        <f t="shared" si="2"/>
        <v>Cassette</v>
      </c>
    </row>
    <row r="139" spans="1:12" x14ac:dyDescent="0.3">
      <c r="A139">
        <v>137</v>
      </c>
      <c r="B139">
        <v>137</v>
      </c>
      <c r="C139">
        <v>1998</v>
      </c>
      <c r="D139" t="s">
        <v>17</v>
      </c>
      <c r="E139">
        <v>26.4</v>
      </c>
      <c r="F139">
        <v>181.67019386499999</v>
      </c>
      <c r="G139">
        <v>0.181670193865</v>
      </c>
      <c r="H139">
        <v>6.8814467373105996</v>
      </c>
      <c r="I139">
        <v>181.67019386499999</v>
      </c>
      <c r="J139">
        <v>26.4</v>
      </c>
      <c r="K139" t="s">
        <v>11</v>
      </c>
      <c r="L139" t="str">
        <f t="shared" si="2"/>
        <v>Cassette Single</v>
      </c>
    </row>
    <row r="140" spans="1:12" x14ac:dyDescent="0.3">
      <c r="A140">
        <v>138</v>
      </c>
      <c r="B140">
        <v>138</v>
      </c>
      <c r="C140">
        <v>1998</v>
      </c>
      <c r="D140" t="s">
        <v>13</v>
      </c>
      <c r="E140">
        <v>3.4</v>
      </c>
      <c r="F140">
        <v>65.432061349999998</v>
      </c>
      <c r="G140">
        <v>6.5432061350000001E-2</v>
      </c>
      <c r="H140">
        <v>19.244723926470499</v>
      </c>
      <c r="I140">
        <v>65.432061349999998</v>
      </c>
      <c r="J140">
        <v>3.4</v>
      </c>
      <c r="K140" t="s">
        <v>11</v>
      </c>
      <c r="L140" t="str">
        <f t="shared" si="2"/>
        <v>LP/EP</v>
      </c>
    </row>
    <row r="141" spans="1:12" x14ac:dyDescent="0.3">
      <c r="A141">
        <v>139</v>
      </c>
      <c r="B141">
        <v>139</v>
      </c>
      <c r="C141">
        <v>1998</v>
      </c>
      <c r="D141" t="s">
        <v>19</v>
      </c>
      <c r="E141">
        <v>27.2</v>
      </c>
      <c r="F141">
        <v>977.63197546000004</v>
      </c>
      <c r="G141">
        <v>0.97763197546000002</v>
      </c>
      <c r="H141">
        <v>35.942352038970498</v>
      </c>
      <c r="I141">
        <v>977.63197546000004</v>
      </c>
      <c r="J141">
        <v>27.2</v>
      </c>
      <c r="K141" t="s">
        <v>11</v>
      </c>
      <c r="L141" t="str">
        <f t="shared" si="2"/>
        <v>Music Video (Physical)</v>
      </c>
    </row>
    <row r="142" spans="1:12" x14ac:dyDescent="0.3">
      <c r="A142">
        <v>140</v>
      </c>
      <c r="B142">
        <v>140</v>
      </c>
      <c r="C142">
        <v>1998</v>
      </c>
      <c r="D142" t="s">
        <v>15</v>
      </c>
      <c r="E142">
        <v>5.4</v>
      </c>
      <c r="F142">
        <v>49.458940491</v>
      </c>
      <c r="G142">
        <v>4.9458940490999997E-2</v>
      </c>
      <c r="H142">
        <v>9.1590630538888806</v>
      </c>
      <c r="I142">
        <v>49.458940491</v>
      </c>
      <c r="J142">
        <v>5.4</v>
      </c>
      <c r="K142" t="s">
        <v>11</v>
      </c>
      <c r="L142" t="str">
        <f t="shared" si="2"/>
        <v>Vinyl Single</v>
      </c>
    </row>
    <row r="143" spans="1:12" x14ac:dyDescent="0.3">
      <c r="A143">
        <v>141</v>
      </c>
      <c r="B143">
        <v>141</v>
      </c>
      <c r="C143">
        <v>1999</v>
      </c>
      <c r="D143" t="s">
        <v>16</v>
      </c>
      <c r="E143">
        <v>938.9</v>
      </c>
      <c r="F143">
        <v>24131.646642856998</v>
      </c>
      <c r="G143">
        <v>24.131646642857</v>
      </c>
      <c r="H143">
        <v>25.7020413706007</v>
      </c>
      <c r="I143">
        <v>24131.646642856998</v>
      </c>
      <c r="J143">
        <v>938.9</v>
      </c>
      <c r="K143" t="s">
        <v>11</v>
      </c>
      <c r="L143" t="str">
        <f t="shared" si="2"/>
        <v>CD</v>
      </c>
    </row>
    <row r="144" spans="1:12" x14ac:dyDescent="0.3">
      <c r="A144">
        <v>142</v>
      </c>
      <c r="B144">
        <v>142</v>
      </c>
      <c r="C144">
        <v>1999</v>
      </c>
      <c r="D144" t="s">
        <v>18</v>
      </c>
      <c r="E144">
        <v>55.9</v>
      </c>
      <c r="F144">
        <v>418.754103241</v>
      </c>
      <c r="G144">
        <v>0.41875410324099999</v>
      </c>
      <c r="H144">
        <v>7.4911288594096597</v>
      </c>
      <c r="I144">
        <v>418.754103241</v>
      </c>
      <c r="J144">
        <v>55.9</v>
      </c>
      <c r="K144" t="s">
        <v>11</v>
      </c>
      <c r="L144" t="str">
        <f t="shared" si="2"/>
        <v>CD Single</v>
      </c>
    </row>
    <row r="145" spans="1:12" x14ac:dyDescent="0.3">
      <c r="A145">
        <v>143</v>
      </c>
      <c r="B145">
        <v>143</v>
      </c>
      <c r="C145">
        <v>1999</v>
      </c>
      <c r="D145" t="s">
        <v>12</v>
      </c>
      <c r="E145">
        <v>123.6</v>
      </c>
      <c r="F145">
        <v>1998.8730036009999</v>
      </c>
      <c r="G145">
        <v>1.9988730036010001</v>
      </c>
      <c r="H145">
        <v>16.1721116796197</v>
      </c>
      <c r="I145">
        <v>1998.8730036009999</v>
      </c>
      <c r="J145">
        <v>123.6</v>
      </c>
      <c r="K145" t="s">
        <v>11</v>
      </c>
      <c r="L145" t="str">
        <f t="shared" si="2"/>
        <v>Cassette</v>
      </c>
    </row>
    <row r="146" spans="1:12" x14ac:dyDescent="0.3">
      <c r="A146">
        <v>144</v>
      </c>
      <c r="B146">
        <v>144</v>
      </c>
      <c r="C146">
        <v>1999</v>
      </c>
      <c r="D146" t="s">
        <v>17</v>
      </c>
      <c r="E146">
        <v>14.2</v>
      </c>
      <c r="F146">
        <v>90.378583433000003</v>
      </c>
      <c r="G146">
        <v>9.0378583432999995E-2</v>
      </c>
      <c r="H146">
        <v>6.3646889741549302</v>
      </c>
      <c r="I146">
        <v>90.378583433000003</v>
      </c>
      <c r="J146">
        <v>14.2</v>
      </c>
      <c r="K146" t="s">
        <v>11</v>
      </c>
      <c r="L146" t="str">
        <f t="shared" si="2"/>
        <v>Cassette Single</v>
      </c>
    </row>
    <row r="147" spans="1:12" x14ac:dyDescent="0.3">
      <c r="A147">
        <v>145</v>
      </c>
      <c r="B147">
        <v>145</v>
      </c>
      <c r="C147">
        <v>1999</v>
      </c>
      <c r="D147" t="s">
        <v>13</v>
      </c>
      <c r="E147">
        <v>2.9</v>
      </c>
      <c r="F147">
        <v>59.875811525000003</v>
      </c>
      <c r="G147">
        <v>5.9875811525000003E-2</v>
      </c>
      <c r="H147">
        <v>20.6468315603448</v>
      </c>
      <c r="I147">
        <v>59.875811525000003</v>
      </c>
      <c r="J147">
        <v>2.9</v>
      </c>
      <c r="K147" t="s">
        <v>11</v>
      </c>
      <c r="L147" t="str">
        <f t="shared" si="2"/>
        <v>LP/EP</v>
      </c>
    </row>
    <row r="148" spans="1:12" x14ac:dyDescent="0.3">
      <c r="A148">
        <v>146</v>
      </c>
      <c r="B148">
        <v>146</v>
      </c>
      <c r="C148">
        <v>1999</v>
      </c>
      <c r="D148" t="s">
        <v>19</v>
      </c>
      <c r="E148">
        <v>19.8</v>
      </c>
      <c r="F148">
        <v>709.28359123600001</v>
      </c>
      <c r="G148">
        <v>0.70928359123600004</v>
      </c>
      <c r="H148">
        <v>35.822403597777701</v>
      </c>
      <c r="I148">
        <v>709.28359123600001</v>
      </c>
      <c r="J148">
        <v>19.8</v>
      </c>
      <c r="K148" t="s">
        <v>11</v>
      </c>
      <c r="L148" t="str">
        <f t="shared" si="2"/>
        <v>Music Video (Physical)</v>
      </c>
    </row>
    <row r="149" spans="1:12" x14ac:dyDescent="0.3">
      <c r="A149">
        <v>147</v>
      </c>
      <c r="B149">
        <v>147</v>
      </c>
      <c r="C149">
        <v>1999</v>
      </c>
      <c r="D149" t="s">
        <v>15</v>
      </c>
      <c r="E149">
        <v>5.3</v>
      </c>
      <c r="F149">
        <v>52.532551621000003</v>
      </c>
      <c r="G149">
        <v>5.2532551620999998E-2</v>
      </c>
      <c r="H149">
        <v>9.9118021926415096</v>
      </c>
      <c r="I149">
        <v>52.532551621000003</v>
      </c>
      <c r="J149">
        <v>5.3</v>
      </c>
      <c r="K149" t="s">
        <v>11</v>
      </c>
      <c r="L149" t="str">
        <f t="shared" si="2"/>
        <v>Vinyl Single</v>
      </c>
    </row>
    <row r="150" spans="1:12" x14ac:dyDescent="0.3">
      <c r="A150">
        <v>148</v>
      </c>
      <c r="B150">
        <v>148</v>
      </c>
      <c r="C150">
        <v>2000</v>
      </c>
      <c r="D150" t="s">
        <v>16</v>
      </c>
      <c r="E150">
        <v>942.5</v>
      </c>
      <c r="F150">
        <v>24072.260688153001</v>
      </c>
      <c r="G150">
        <v>24.072260688153001</v>
      </c>
      <c r="H150">
        <v>25.540860146581402</v>
      </c>
      <c r="I150">
        <v>24072.260688153001</v>
      </c>
      <c r="J150">
        <v>942.5</v>
      </c>
      <c r="K150" t="s">
        <v>11</v>
      </c>
      <c r="L150" t="str">
        <f t="shared" si="2"/>
        <v>CD</v>
      </c>
    </row>
    <row r="151" spans="1:12" x14ac:dyDescent="0.3">
      <c r="A151">
        <v>149</v>
      </c>
      <c r="B151">
        <v>149</v>
      </c>
      <c r="C151">
        <v>2000</v>
      </c>
      <c r="D151" t="s">
        <v>18</v>
      </c>
      <c r="E151">
        <v>34.200000000000003</v>
      </c>
      <c r="F151">
        <v>259.95017595799999</v>
      </c>
      <c r="G151">
        <v>0.25995017595800002</v>
      </c>
      <c r="H151">
        <v>7.6008823379532098</v>
      </c>
      <c r="I151">
        <v>259.95017595799999</v>
      </c>
      <c r="J151">
        <v>34.200000000000003</v>
      </c>
      <c r="K151" t="s">
        <v>11</v>
      </c>
      <c r="L151" t="str">
        <f t="shared" si="2"/>
        <v>CD Single</v>
      </c>
    </row>
    <row r="152" spans="1:12" x14ac:dyDescent="0.3">
      <c r="A152">
        <v>150</v>
      </c>
      <c r="B152">
        <v>150</v>
      </c>
      <c r="C152">
        <v>2000</v>
      </c>
      <c r="D152" t="s">
        <v>12</v>
      </c>
      <c r="E152">
        <v>76</v>
      </c>
      <c r="F152">
        <v>1140.356062718</v>
      </c>
      <c r="G152">
        <v>1.1403560627180001</v>
      </c>
      <c r="H152">
        <v>15.004685035763099</v>
      </c>
      <c r="I152">
        <v>1140.356062718</v>
      </c>
      <c r="J152">
        <v>76</v>
      </c>
      <c r="K152" t="s">
        <v>11</v>
      </c>
      <c r="L152" t="str">
        <f t="shared" si="2"/>
        <v>Cassette</v>
      </c>
    </row>
    <row r="153" spans="1:12" x14ac:dyDescent="0.3">
      <c r="A153">
        <v>151</v>
      </c>
      <c r="B153">
        <v>151</v>
      </c>
      <c r="C153">
        <v>2000</v>
      </c>
      <c r="D153" t="s">
        <v>17</v>
      </c>
      <c r="E153">
        <v>1.3</v>
      </c>
      <c r="F153">
        <v>8.3796132399999994</v>
      </c>
      <c r="G153">
        <v>8.3796132400000001E-3</v>
      </c>
      <c r="H153">
        <v>6.4458563384615299</v>
      </c>
      <c r="I153">
        <v>8.3796132399999994</v>
      </c>
      <c r="J153">
        <v>1.3</v>
      </c>
      <c r="K153" t="s">
        <v>11</v>
      </c>
      <c r="L153" t="str">
        <f t="shared" si="2"/>
        <v>Cassette Single</v>
      </c>
    </row>
    <row r="154" spans="1:12" x14ac:dyDescent="0.3">
      <c r="A154">
        <v>152</v>
      </c>
      <c r="B154">
        <v>152</v>
      </c>
      <c r="C154">
        <v>2000</v>
      </c>
      <c r="D154" t="s">
        <v>13</v>
      </c>
      <c r="E154">
        <v>2.2000000000000002</v>
      </c>
      <c r="F154">
        <v>50.459844947999997</v>
      </c>
      <c r="G154">
        <v>5.0459844947999898E-2</v>
      </c>
      <c r="H154">
        <v>22.936293158181801</v>
      </c>
      <c r="I154">
        <v>50.459844947999997</v>
      </c>
      <c r="J154">
        <v>2.2000000000000002</v>
      </c>
      <c r="K154" t="s">
        <v>11</v>
      </c>
      <c r="L154" t="str">
        <f t="shared" si="2"/>
        <v>LP/EP</v>
      </c>
    </row>
    <row r="155" spans="1:12" x14ac:dyDescent="0.3">
      <c r="A155">
        <v>153</v>
      </c>
      <c r="B155">
        <v>153</v>
      </c>
      <c r="C155">
        <v>2000</v>
      </c>
      <c r="D155" t="s">
        <v>19</v>
      </c>
      <c r="E155">
        <v>18.2</v>
      </c>
      <c r="F155">
        <v>513.52455923299999</v>
      </c>
      <c r="G155">
        <v>0.513524559233</v>
      </c>
      <c r="H155">
        <v>28.215635122692301</v>
      </c>
      <c r="I155">
        <v>513.52455923299999</v>
      </c>
      <c r="J155">
        <v>18.2</v>
      </c>
      <c r="K155" t="s">
        <v>11</v>
      </c>
      <c r="L155" t="str">
        <f t="shared" si="2"/>
        <v>Music Video (Physical)</v>
      </c>
    </row>
    <row r="156" spans="1:12" x14ac:dyDescent="0.3">
      <c r="A156">
        <v>154</v>
      </c>
      <c r="B156">
        <v>154</v>
      </c>
      <c r="C156">
        <v>2000</v>
      </c>
      <c r="D156" t="s">
        <v>15</v>
      </c>
      <c r="E156">
        <v>4.8</v>
      </c>
      <c r="F156">
        <v>47.909527875000002</v>
      </c>
      <c r="G156">
        <v>4.7909527875000003E-2</v>
      </c>
      <c r="H156">
        <v>9.9811516406250007</v>
      </c>
      <c r="I156">
        <v>47.909527875000002</v>
      </c>
      <c r="J156">
        <v>4.8</v>
      </c>
      <c r="K156" t="s">
        <v>11</v>
      </c>
      <c r="L156" t="str">
        <f t="shared" si="2"/>
        <v>Vinyl Single</v>
      </c>
    </row>
    <row r="157" spans="1:12" x14ac:dyDescent="0.3">
      <c r="A157">
        <v>155</v>
      </c>
      <c r="B157">
        <v>155</v>
      </c>
      <c r="C157">
        <v>2001</v>
      </c>
      <c r="D157" t="s">
        <v>16</v>
      </c>
      <c r="E157">
        <v>881.9</v>
      </c>
      <c r="F157">
        <v>22865.820308300001</v>
      </c>
      <c r="G157">
        <v>22.865820308299998</v>
      </c>
      <c r="H157">
        <v>25.927906007823999</v>
      </c>
      <c r="I157">
        <v>22865.820308300001</v>
      </c>
      <c r="J157">
        <v>881.9</v>
      </c>
      <c r="K157" t="s">
        <v>11</v>
      </c>
      <c r="L157" t="str">
        <f t="shared" si="2"/>
        <v>CD</v>
      </c>
    </row>
    <row r="158" spans="1:12" x14ac:dyDescent="0.3">
      <c r="A158">
        <v>156</v>
      </c>
      <c r="B158">
        <v>156</v>
      </c>
      <c r="C158">
        <v>2001</v>
      </c>
      <c r="D158" t="s">
        <v>18</v>
      </c>
      <c r="E158">
        <v>17.3</v>
      </c>
      <c r="F158">
        <v>140.637530209</v>
      </c>
      <c r="G158">
        <v>0.14063753020899999</v>
      </c>
      <c r="H158">
        <v>8.1293370063005703</v>
      </c>
      <c r="I158">
        <v>140.637530209</v>
      </c>
      <c r="J158">
        <v>17.3</v>
      </c>
      <c r="K158" t="s">
        <v>11</v>
      </c>
      <c r="L158" t="str">
        <f t="shared" si="2"/>
        <v>CD Single</v>
      </c>
    </row>
    <row r="159" spans="1:12" x14ac:dyDescent="0.3">
      <c r="A159">
        <v>157</v>
      </c>
      <c r="B159">
        <v>157</v>
      </c>
      <c r="C159">
        <v>2001</v>
      </c>
      <c r="D159" t="s">
        <v>12</v>
      </c>
      <c r="E159">
        <v>45</v>
      </c>
      <c r="F159">
        <v>643.67353246799996</v>
      </c>
      <c r="G159">
        <v>0.64367353246799996</v>
      </c>
      <c r="H159">
        <v>14.3038562770666</v>
      </c>
      <c r="I159">
        <v>643.67353246799996</v>
      </c>
      <c r="J159">
        <v>45</v>
      </c>
      <c r="K159" t="s">
        <v>11</v>
      </c>
      <c r="L159" t="str">
        <f t="shared" si="2"/>
        <v>Cassette</v>
      </c>
    </row>
    <row r="160" spans="1:12" x14ac:dyDescent="0.3">
      <c r="A160">
        <v>158</v>
      </c>
      <c r="B160">
        <v>158</v>
      </c>
      <c r="C160">
        <v>2001</v>
      </c>
      <c r="D160" t="s">
        <v>17</v>
      </c>
      <c r="E160">
        <v>-1.5</v>
      </c>
      <c r="J160">
        <v>-1.5</v>
      </c>
      <c r="K160" t="s">
        <v>11</v>
      </c>
      <c r="L160" t="str">
        <f t="shared" si="2"/>
        <v>Cassette Single</v>
      </c>
    </row>
    <row r="161" spans="1:12" x14ac:dyDescent="0.3">
      <c r="A161">
        <v>159</v>
      </c>
      <c r="B161">
        <v>159</v>
      </c>
      <c r="C161">
        <v>2001</v>
      </c>
      <c r="D161" t="s">
        <v>20</v>
      </c>
      <c r="E161">
        <v>0.26300000000000001</v>
      </c>
      <c r="F161">
        <v>10.627521174</v>
      </c>
      <c r="G161">
        <v>1.0627521173999999E-2</v>
      </c>
      <c r="H161">
        <v>40.408825756653897</v>
      </c>
      <c r="I161">
        <v>10.627521174</v>
      </c>
      <c r="J161">
        <v>0.26300000000000001</v>
      </c>
      <c r="K161" t="s">
        <v>11</v>
      </c>
      <c r="L161" t="str">
        <f t="shared" si="2"/>
        <v>DVD Audio</v>
      </c>
    </row>
    <row r="162" spans="1:12" x14ac:dyDescent="0.3">
      <c r="A162">
        <v>160</v>
      </c>
      <c r="B162">
        <v>160</v>
      </c>
      <c r="C162">
        <v>2001</v>
      </c>
      <c r="D162" t="s">
        <v>13</v>
      </c>
      <c r="E162">
        <v>2.2999999999999998</v>
      </c>
      <c r="F162">
        <v>48.532346697000001</v>
      </c>
      <c r="G162">
        <v>4.8532346697000003E-2</v>
      </c>
      <c r="H162">
        <v>21.101020303043398</v>
      </c>
      <c r="I162">
        <v>48.532346697000001</v>
      </c>
      <c r="J162">
        <v>2.2999999999999998</v>
      </c>
      <c r="K162" t="s">
        <v>11</v>
      </c>
      <c r="L162" t="str">
        <f t="shared" si="2"/>
        <v>LP/EP</v>
      </c>
    </row>
    <row r="163" spans="1:12" x14ac:dyDescent="0.3">
      <c r="A163">
        <v>161</v>
      </c>
      <c r="B163">
        <v>161</v>
      </c>
      <c r="C163">
        <v>2001</v>
      </c>
      <c r="D163" t="s">
        <v>19</v>
      </c>
      <c r="E163">
        <v>17.7</v>
      </c>
      <c r="F163">
        <v>583.09666177300005</v>
      </c>
      <c r="G163">
        <v>0.58309666177300001</v>
      </c>
      <c r="H163">
        <v>32.943314224463201</v>
      </c>
      <c r="I163">
        <v>583.09666177300005</v>
      </c>
      <c r="J163">
        <v>17.7</v>
      </c>
      <c r="K163" t="s">
        <v>11</v>
      </c>
      <c r="L163" t="str">
        <f t="shared" si="2"/>
        <v>Music Video (Physical)</v>
      </c>
    </row>
    <row r="164" spans="1:12" x14ac:dyDescent="0.3">
      <c r="A164">
        <v>162</v>
      </c>
      <c r="B164">
        <v>162</v>
      </c>
      <c r="C164">
        <v>2001</v>
      </c>
      <c r="D164" t="s">
        <v>15</v>
      </c>
      <c r="E164">
        <v>5.5</v>
      </c>
      <c r="F164">
        <v>55.617360812999998</v>
      </c>
      <c r="G164">
        <v>5.5617360812999998E-2</v>
      </c>
      <c r="H164">
        <v>10.112247420545399</v>
      </c>
      <c r="I164">
        <v>55.617360812999998</v>
      </c>
      <c r="J164">
        <v>5.5</v>
      </c>
      <c r="K164" t="s">
        <v>11</v>
      </c>
      <c r="L164" t="str">
        <f t="shared" si="2"/>
        <v>Vinyl Single</v>
      </c>
    </row>
    <row r="165" spans="1:12" x14ac:dyDescent="0.3">
      <c r="A165">
        <v>163</v>
      </c>
      <c r="B165">
        <v>163</v>
      </c>
      <c r="C165">
        <v>2002</v>
      </c>
      <c r="D165" t="s">
        <v>16</v>
      </c>
      <c r="E165">
        <v>803.3</v>
      </c>
      <c r="F165">
        <v>21001.121094497001</v>
      </c>
      <c r="G165">
        <v>21.001121094497002</v>
      </c>
      <c r="H165">
        <v>26.143559186476999</v>
      </c>
      <c r="I165">
        <v>21001.121094497001</v>
      </c>
      <c r="J165">
        <v>803.3</v>
      </c>
      <c r="K165" t="s">
        <v>11</v>
      </c>
      <c r="L165" t="str">
        <f t="shared" si="2"/>
        <v>CD</v>
      </c>
    </row>
    <row r="166" spans="1:12" x14ac:dyDescent="0.3">
      <c r="A166">
        <v>164</v>
      </c>
      <c r="B166">
        <v>164</v>
      </c>
      <c r="C166">
        <v>2002</v>
      </c>
      <c r="D166" t="s">
        <v>18</v>
      </c>
      <c r="E166">
        <v>4.5</v>
      </c>
      <c r="F166">
        <v>34.176233463000003</v>
      </c>
      <c r="G166">
        <v>3.4176233463E-2</v>
      </c>
      <c r="H166">
        <v>7.5947185473333301</v>
      </c>
      <c r="I166">
        <v>34.176233463000003</v>
      </c>
      <c r="J166">
        <v>4.5</v>
      </c>
      <c r="K166" t="s">
        <v>11</v>
      </c>
      <c r="L166" t="str">
        <f t="shared" si="2"/>
        <v>CD Single</v>
      </c>
    </row>
    <row r="167" spans="1:12" x14ac:dyDescent="0.3">
      <c r="A167">
        <v>165</v>
      </c>
      <c r="B167">
        <v>165</v>
      </c>
      <c r="C167">
        <v>2002</v>
      </c>
      <c r="D167" t="s">
        <v>12</v>
      </c>
      <c r="E167">
        <v>31.1</v>
      </c>
      <c r="F167">
        <v>365.82519288499998</v>
      </c>
      <c r="G167">
        <v>0.36582519288499998</v>
      </c>
      <c r="H167">
        <v>11.762867938424399</v>
      </c>
      <c r="I167">
        <v>365.82519288499998</v>
      </c>
      <c r="J167">
        <v>31.1</v>
      </c>
      <c r="K167" t="s">
        <v>11</v>
      </c>
      <c r="L167" t="str">
        <f t="shared" si="2"/>
        <v>Cassette</v>
      </c>
    </row>
    <row r="168" spans="1:12" x14ac:dyDescent="0.3">
      <c r="A168">
        <v>166</v>
      </c>
      <c r="B168">
        <v>166</v>
      </c>
      <c r="C168">
        <v>2002</v>
      </c>
      <c r="D168" t="s">
        <v>17</v>
      </c>
      <c r="E168">
        <v>-0.5</v>
      </c>
      <c r="J168">
        <v>-0.5</v>
      </c>
      <c r="K168" t="s">
        <v>11</v>
      </c>
      <c r="L168" t="str">
        <f t="shared" si="2"/>
        <v>Cassette Single</v>
      </c>
    </row>
    <row r="169" spans="1:12" x14ac:dyDescent="0.3">
      <c r="A169">
        <v>167</v>
      </c>
      <c r="B169">
        <v>167</v>
      </c>
      <c r="C169">
        <v>2002</v>
      </c>
      <c r="D169" t="s">
        <v>20</v>
      </c>
      <c r="E169">
        <v>0.43</v>
      </c>
      <c r="F169">
        <v>14.821325737</v>
      </c>
      <c r="G169">
        <v>1.4821325737000001E-2</v>
      </c>
      <c r="H169">
        <v>34.468199388372</v>
      </c>
      <c r="I169">
        <v>14.821325737</v>
      </c>
      <c r="J169">
        <v>0.43</v>
      </c>
      <c r="K169" t="s">
        <v>11</v>
      </c>
      <c r="L169" t="str">
        <f t="shared" si="2"/>
        <v>DVD Audio</v>
      </c>
    </row>
    <row r="170" spans="1:12" x14ac:dyDescent="0.3">
      <c r="A170">
        <v>168</v>
      </c>
      <c r="B170">
        <v>168</v>
      </c>
      <c r="C170">
        <v>2002</v>
      </c>
      <c r="D170" t="s">
        <v>13</v>
      </c>
      <c r="E170">
        <v>1.7430000000000001</v>
      </c>
      <c r="F170">
        <v>35.745550305999998</v>
      </c>
      <c r="G170">
        <v>3.5745550305999997E-2</v>
      </c>
      <c r="H170">
        <v>20.508060990246602</v>
      </c>
      <c r="I170">
        <v>35.745550305999998</v>
      </c>
      <c r="J170">
        <v>1.7430000000000001</v>
      </c>
      <c r="K170" t="s">
        <v>11</v>
      </c>
      <c r="L170" t="str">
        <f t="shared" si="2"/>
        <v>LP/EP</v>
      </c>
    </row>
    <row r="171" spans="1:12" x14ac:dyDescent="0.3">
      <c r="A171">
        <v>169</v>
      </c>
      <c r="B171">
        <v>169</v>
      </c>
      <c r="C171">
        <v>2002</v>
      </c>
      <c r="D171" t="s">
        <v>19</v>
      </c>
      <c r="E171">
        <v>14.7</v>
      </c>
      <c r="F171">
        <v>502.87886381300001</v>
      </c>
      <c r="G171">
        <v>0.50287886381299995</v>
      </c>
      <c r="H171">
        <v>34.209446517891102</v>
      </c>
      <c r="I171">
        <v>502.87886381300001</v>
      </c>
      <c r="J171">
        <v>14.7</v>
      </c>
      <c r="K171" t="s">
        <v>11</v>
      </c>
      <c r="L171" t="str">
        <f t="shared" si="2"/>
        <v>Music Video (Physical)</v>
      </c>
    </row>
    <row r="172" spans="1:12" x14ac:dyDescent="0.3">
      <c r="A172">
        <v>170</v>
      </c>
      <c r="B172">
        <v>170</v>
      </c>
      <c r="C172">
        <v>2002</v>
      </c>
      <c r="D172" t="s">
        <v>15</v>
      </c>
      <c r="E172">
        <v>4.4000000000000004</v>
      </c>
      <c r="F172">
        <v>43.417765981000002</v>
      </c>
      <c r="G172">
        <v>4.3417765981000001E-2</v>
      </c>
      <c r="H172">
        <v>9.8676740865909096</v>
      </c>
      <c r="I172">
        <v>43.417765981000002</v>
      </c>
      <c r="J172">
        <v>4.4000000000000004</v>
      </c>
      <c r="K172" t="s">
        <v>11</v>
      </c>
      <c r="L172" t="str">
        <f t="shared" si="2"/>
        <v>Vinyl Single</v>
      </c>
    </row>
    <row r="173" spans="1:12" x14ac:dyDescent="0.3">
      <c r="A173">
        <v>171</v>
      </c>
      <c r="B173">
        <v>171</v>
      </c>
      <c r="C173">
        <v>2003</v>
      </c>
      <c r="D173" t="s">
        <v>16</v>
      </c>
      <c r="E173">
        <v>746</v>
      </c>
      <c r="F173">
        <v>19150.202000542999</v>
      </c>
      <c r="G173">
        <v>19.150202000543</v>
      </c>
      <c r="H173">
        <v>25.670512065071001</v>
      </c>
      <c r="I173">
        <v>19150.202000542999</v>
      </c>
      <c r="J173">
        <v>746</v>
      </c>
      <c r="K173" t="s">
        <v>11</v>
      </c>
      <c r="L173" t="str">
        <f t="shared" si="2"/>
        <v>CD</v>
      </c>
    </row>
    <row r="174" spans="1:12" x14ac:dyDescent="0.3">
      <c r="A174">
        <v>172</v>
      </c>
      <c r="B174">
        <v>172</v>
      </c>
      <c r="C174">
        <v>2003</v>
      </c>
      <c r="D174" t="s">
        <v>18</v>
      </c>
      <c r="E174">
        <v>8.3000000000000007</v>
      </c>
      <c r="F174">
        <v>61.373934783000003</v>
      </c>
      <c r="G174">
        <v>6.1373934783000003E-2</v>
      </c>
      <c r="H174">
        <v>7.3944499738554201</v>
      </c>
      <c r="I174">
        <v>61.373934783000003</v>
      </c>
      <c r="J174">
        <v>8.3000000000000007</v>
      </c>
      <c r="K174" t="s">
        <v>11</v>
      </c>
      <c r="L174" t="str">
        <f t="shared" si="2"/>
        <v>CD Single</v>
      </c>
    </row>
    <row r="175" spans="1:12" x14ac:dyDescent="0.3">
      <c r="A175">
        <v>173</v>
      </c>
      <c r="B175">
        <v>173</v>
      </c>
      <c r="C175">
        <v>2003</v>
      </c>
      <c r="D175" t="s">
        <v>12</v>
      </c>
      <c r="E175">
        <v>17.2</v>
      </c>
      <c r="F175">
        <v>184.29228749999999</v>
      </c>
      <c r="G175">
        <v>0.18429228749999901</v>
      </c>
      <c r="H175">
        <v>10.7146678779069</v>
      </c>
      <c r="I175">
        <v>184.29228749999999</v>
      </c>
      <c r="J175">
        <v>17.2</v>
      </c>
      <c r="K175" t="s">
        <v>11</v>
      </c>
      <c r="L175" t="str">
        <f t="shared" si="2"/>
        <v>Cassette</v>
      </c>
    </row>
    <row r="176" spans="1:12" x14ac:dyDescent="0.3">
      <c r="A176">
        <v>174</v>
      </c>
      <c r="B176">
        <v>174</v>
      </c>
      <c r="C176">
        <v>2003</v>
      </c>
      <c r="D176" t="s">
        <v>20</v>
      </c>
      <c r="E176">
        <v>0.4</v>
      </c>
      <c r="F176">
        <v>13.638652174000001</v>
      </c>
      <c r="G176">
        <v>1.3638652174E-2</v>
      </c>
      <c r="H176">
        <v>34.096630435000002</v>
      </c>
      <c r="I176">
        <v>13.638652174000001</v>
      </c>
      <c r="J176">
        <v>0.4</v>
      </c>
      <c r="K176" t="s">
        <v>11</v>
      </c>
      <c r="L176" t="str">
        <f t="shared" si="2"/>
        <v>DVD Audio</v>
      </c>
    </row>
    <row r="177" spans="1:12" x14ac:dyDescent="0.3">
      <c r="A177">
        <v>175</v>
      </c>
      <c r="B177">
        <v>175</v>
      </c>
      <c r="C177">
        <v>2003</v>
      </c>
      <c r="D177" t="s">
        <v>13</v>
      </c>
      <c r="E177">
        <v>1.5</v>
      </c>
      <c r="F177">
        <v>36.994844022000002</v>
      </c>
      <c r="G177">
        <v>3.6994844021999998E-2</v>
      </c>
      <c r="H177">
        <v>24.663229348000002</v>
      </c>
      <c r="I177">
        <v>36.994844022000002</v>
      </c>
      <c r="J177">
        <v>1.5</v>
      </c>
      <c r="K177" t="s">
        <v>11</v>
      </c>
      <c r="L177" t="str">
        <f t="shared" si="2"/>
        <v>LP/EP</v>
      </c>
    </row>
    <row r="178" spans="1:12" x14ac:dyDescent="0.3">
      <c r="A178">
        <v>176</v>
      </c>
      <c r="B178">
        <v>176</v>
      </c>
      <c r="C178">
        <v>2003</v>
      </c>
      <c r="D178" t="s">
        <v>19</v>
      </c>
      <c r="E178">
        <v>19.899999999999999</v>
      </c>
      <c r="F178">
        <v>681.76212554300002</v>
      </c>
      <c r="G178">
        <v>0.68176212554299997</v>
      </c>
      <c r="H178">
        <v>34.259403293618</v>
      </c>
      <c r="I178">
        <v>681.76212554300002</v>
      </c>
      <c r="J178">
        <v>19.899999999999999</v>
      </c>
      <c r="K178" t="s">
        <v>11</v>
      </c>
      <c r="L178" t="str">
        <f t="shared" si="2"/>
        <v>Music Video (Physical)</v>
      </c>
    </row>
    <row r="179" spans="1:12" x14ac:dyDescent="0.3">
      <c r="A179">
        <v>177</v>
      </c>
      <c r="B179">
        <v>177</v>
      </c>
      <c r="C179">
        <v>2003</v>
      </c>
      <c r="D179" t="s">
        <v>21</v>
      </c>
      <c r="E179">
        <v>1.3</v>
      </c>
      <c r="F179">
        <v>44.837069022000001</v>
      </c>
      <c r="G179">
        <v>4.4837069021999999E-2</v>
      </c>
      <c r="H179">
        <v>34.4900530938461</v>
      </c>
      <c r="I179">
        <v>44.837069022000001</v>
      </c>
      <c r="J179">
        <v>1.3</v>
      </c>
      <c r="K179" t="s">
        <v>11</v>
      </c>
      <c r="L179" t="str">
        <f t="shared" si="2"/>
        <v>SACD</v>
      </c>
    </row>
    <row r="180" spans="1:12" x14ac:dyDescent="0.3">
      <c r="A180">
        <v>178</v>
      </c>
      <c r="B180">
        <v>178</v>
      </c>
      <c r="C180">
        <v>2003</v>
      </c>
      <c r="D180" t="s">
        <v>15</v>
      </c>
      <c r="E180">
        <v>3.8</v>
      </c>
      <c r="F180">
        <v>36.653877717</v>
      </c>
      <c r="G180">
        <v>3.6653877717000002E-2</v>
      </c>
      <c r="H180">
        <v>9.6457572939473692</v>
      </c>
      <c r="I180">
        <v>36.653877717</v>
      </c>
      <c r="J180">
        <v>3.8</v>
      </c>
      <c r="K180" t="s">
        <v>11</v>
      </c>
      <c r="L180" t="str">
        <f t="shared" si="2"/>
        <v>Vinyl Single</v>
      </c>
    </row>
    <row r="181" spans="1:12" x14ac:dyDescent="0.3">
      <c r="A181">
        <v>179</v>
      </c>
      <c r="B181">
        <v>179</v>
      </c>
      <c r="C181">
        <v>2004</v>
      </c>
      <c r="D181" t="s">
        <v>16</v>
      </c>
      <c r="E181">
        <v>767</v>
      </c>
      <c r="F181">
        <v>19008.158488617999</v>
      </c>
      <c r="G181">
        <v>19.008158488618001</v>
      </c>
      <c r="H181">
        <v>24.782475213322002</v>
      </c>
      <c r="I181">
        <v>19008.158488617999</v>
      </c>
      <c r="J181">
        <v>767</v>
      </c>
      <c r="K181" t="s">
        <v>11</v>
      </c>
      <c r="L181" t="str">
        <f t="shared" si="2"/>
        <v>CD</v>
      </c>
    </row>
    <row r="182" spans="1:12" x14ac:dyDescent="0.3">
      <c r="A182">
        <v>180</v>
      </c>
      <c r="B182">
        <v>180</v>
      </c>
      <c r="C182">
        <v>2004</v>
      </c>
      <c r="D182" t="s">
        <v>18</v>
      </c>
      <c r="E182">
        <v>3.1</v>
      </c>
      <c r="F182">
        <v>24.909131815999999</v>
      </c>
      <c r="G182">
        <v>2.4909131815999901E-2</v>
      </c>
      <c r="H182">
        <v>8.0352038116129005</v>
      </c>
      <c r="I182">
        <v>24.909131815999999</v>
      </c>
      <c r="J182">
        <v>3.1</v>
      </c>
      <c r="K182" t="s">
        <v>11</v>
      </c>
      <c r="L182" t="str">
        <f t="shared" si="2"/>
        <v>CD Single</v>
      </c>
    </row>
    <row r="183" spans="1:12" x14ac:dyDescent="0.3">
      <c r="A183">
        <v>181</v>
      </c>
      <c r="B183">
        <v>181</v>
      </c>
      <c r="C183">
        <v>2004</v>
      </c>
      <c r="D183" t="s">
        <v>12</v>
      </c>
      <c r="E183">
        <v>5.2</v>
      </c>
      <c r="F183">
        <v>39.356428268999998</v>
      </c>
      <c r="G183">
        <v>3.9356428269000002E-2</v>
      </c>
      <c r="H183">
        <v>7.5685438978846102</v>
      </c>
      <c r="I183">
        <v>39.356428268999998</v>
      </c>
      <c r="J183">
        <v>5.2</v>
      </c>
      <c r="K183" t="s">
        <v>11</v>
      </c>
      <c r="L183" t="str">
        <f t="shared" si="2"/>
        <v>Cassette</v>
      </c>
    </row>
    <row r="184" spans="1:12" x14ac:dyDescent="0.3">
      <c r="A184">
        <v>182</v>
      </c>
      <c r="B184">
        <v>182</v>
      </c>
      <c r="C184">
        <v>2004</v>
      </c>
      <c r="D184" t="s">
        <v>20</v>
      </c>
      <c r="E184">
        <v>0.3</v>
      </c>
      <c r="F184">
        <v>10.79395712</v>
      </c>
      <c r="G184">
        <v>1.0793957119999999E-2</v>
      </c>
      <c r="H184">
        <v>35.979857066666597</v>
      </c>
      <c r="I184">
        <v>10.79395712</v>
      </c>
      <c r="J184">
        <v>0.3</v>
      </c>
      <c r="K184" t="s">
        <v>11</v>
      </c>
      <c r="L184" t="str">
        <f t="shared" si="2"/>
        <v>DVD Audio</v>
      </c>
    </row>
    <row r="185" spans="1:12" x14ac:dyDescent="0.3">
      <c r="A185">
        <v>183</v>
      </c>
      <c r="B185">
        <v>183</v>
      </c>
      <c r="C185">
        <v>2004</v>
      </c>
      <c r="D185" t="s">
        <v>22</v>
      </c>
      <c r="E185">
        <v>4.5999999999999996</v>
      </c>
      <c r="F185">
        <v>75.557699841000002</v>
      </c>
      <c r="G185">
        <v>7.5557699840999998E-2</v>
      </c>
      <c r="H185">
        <v>16.425586921956501</v>
      </c>
      <c r="I185">
        <v>75.557699841000002</v>
      </c>
      <c r="J185">
        <v>4.5999999999999996</v>
      </c>
      <c r="K185" t="s">
        <v>23</v>
      </c>
      <c r="L185" t="str">
        <f t="shared" si="2"/>
        <v>Download Album</v>
      </c>
    </row>
    <row r="186" spans="1:12" x14ac:dyDescent="0.3">
      <c r="A186">
        <v>184</v>
      </c>
      <c r="B186">
        <v>184</v>
      </c>
      <c r="C186">
        <v>2004</v>
      </c>
      <c r="D186" t="s">
        <v>24</v>
      </c>
      <c r="E186">
        <v>139.4</v>
      </c>
      <c r="F186">
        <v>229.164012705</v>
      </c>
      <c r="G186">
        <v>0.229164012705</v>
      </c>
      <c r="H186">
        <v>1.6439312245695801</v>
      </c>
      <c r="I186">
        <v>229.164012705</v>
      </c>
      <c r="J186">
        <v>139.4</v>
      </c>
      <c r="K186" t="s">
        <v>23</v>
      </c>
      <c r="L186" t="str">
        <f t="shared" si="2"/>
        <v>Download Single</v>
      </c>
    </row>
    <row r="187" spans="1:12" x14ac:dyDescent="0.3">
      <c r="A187">
        <v>185</v>
      </c>
      <c r="B187">
        <v>185</v>
      </c>
      <c r="C187">
        <v>2004</v>
      </c>
      <c r="D187" t="s">
        <v>13</v>
      </c>
      <c r="E187">
        <v>1.4</v>
      </c>
      <c r="F187">
        <v>32.049749603000002</v>
      </c>
      <c r="G187">
        <v>3.2049749603E-2</v>
      </c>
      <c r="H187">
        <v>22.892678287857098</v>
      </c>
      <c r="I187">
        <v>32.049749603000002</v>
      </c>
      <c r="J187">
        <v>1.4</v>
      </c>
      <c r="K187" t="s">
        <v>11</v>
      </c>
      <c r="L187" t="str">
        <f t="shared" si="2"/>
        <v>LP/EP</v>
      </c>
    </row>
    <row r="188" spans="1:12" x14ac:dyDescent="0.3">
      <c r="A188">
        <v>186</v>
      </c>
      <c r="B188">
        <v>186</v>
      </c>
      <c r="C188">
        <v>2004</v>
      </c>
      <c r="D188" t="s">
        <v>19</v>
      </c>
      <c r="E188">
        <v>32.799999999999997</v>
      </c>
      <c r="F188">
        <v>1008.321655903</v>
      </c>
      <c r="G188">
        <v>1.0083216559029999</v>
      </c>
      <c r="H188">
        <v>30.741513899481699</v>
      </c>
      <c r="I188">
        <v>1008.321655903</v>
      </c>
      <c r="J188">
        <v>32.799999999999997</v>
      </c>
      <c r="K188" t="s">
        <v>11</v>
      </c>
      <c r="L188" t="str">
        <f t="shared" si="2"/>
        <v>Music Video (Physical)</v>
      </c>
    </row>
    <row r="189" spans="1:12" x14ac:dyDescent="0.3">
      <c r="A189">
        <v>187</v>
      </c>
      <c r="B189">
        <v>187</v>
      </c>
      <c r="C189">
        <v>2004</v>
      </c>
      <c r="D189" t="s">
        <v>21</v>
      </c>
      <c r="E189">
        <v>0.8</v>
      </c>
      <c r="F189">
        <v>27.566105876000002</v>
      </c>
      <c r="G189">
        <v>2.7566105875999999E-2</v>
      </c>
      <c r="H189">
        <v>34.457632345</v>
      </c>
      <c r="I189">
        <v>27.566105876000002</v>
      </c>
      <c r="J189">
        <v>0.8</v>
      </c>
      <c r="K189" t="s">
        <v>11</v>
      </c>
      <c r="L189" t="str">
        <f t="shared" si="2"/>
        <v>SACD</v>
      </c>
    </row>
    <row r="190" spans="1:12" x14ac:dyDescent="0.3">
      <c r="A190">
        <v>188</v>
      </c>
      <c r="B190">
        <v>188</v>
      </c>
      <c r="C190">
        <v>2004</v>
      </c>
      <c r="D190" t="s">
        <v>25</v>
      </c>
      <c r="F190">
        <v>11.458200635000001</v>
      </c>
      <c r="G190">
        <v>1.1458200635E-2</v>
      </c>
      <c r="I190">
        <v>11.458200635000001</v>
      </c>
      <c r="K190" t="s">
        <v>23</v>
      </c>
      <c r="L190" t="str">
        <f t="shared" si="2"/>
        <v>SoundExchange Distributions</v>
      </c>
    </row>
    <row r="191" spans="1:12" x14ac:dyDescent="0.3">
      <c r="A191">
        <v>189</v>
      </c>
      <c r="B191">
        <v>189</v>
      </c>
      <c r="C191">
        <v>2004</v>
      </c>
      <c r="D191" t="s">
        <v>15</v>
      </c>
      <c r="E191">
        <v>3.5</v>
      </c>
      <c r="F191">
        <v>33.046114875999997</v>
      </c>
      <c r="G191">
        <v>3.3046114875999899E-2</v>
      </c>
      <c r="H191">
        <v>9.4417471074285704</v>
      </c>
      <c r="I191">
        <v>33.046114875999997</v>
      </c>
      <c r="J191">
        <v>3.5</v>
      </c>
      <c r="K191" t="s">
        <v>11</v>
      </c>
      <c r="L191" t="str">
        <f t="shared" si="2"/>
        <v>Vinyl Single</v>
      </c>
    </row>
    <row r="192" spans="1:12" x14ac:dyDescent="0.3">
      <c r="A192">
        <v>190</v>
      </c>
      <c r="B192">
        <v>190</v>
      </c>
      <c r="C192">
        <v>2005</v>
      </c>
      <c r="D192" t="s">
        <v>16</v>
      </c>
      <c r="E192">
        <v>705.4</v>
      </c>
      <c r="F192">
        <v>16897.445047619</v>
      </c>
      <c r="G192">
        <v>16.897445047619001</v>
      </c>
      <c r="H192">
        <v>23.954416001728099</v>
      </c>
      <c r="I192">
        <v>16897.445047619</v>
      </c>
      <c r="J192">
        <v>705.4</v>
      </c>
      <c r="K192" t="s">
        <v>11</v>
      </c>
      <c r="L192" t="str">
        <f t="shared" si="2"/>
        <v>CD</v>
      </c>
    </row>
    <row r="193" spans="1:13" x14ac:dyDescent="0.3">
      <c r="A193">
        <v>191</v>
      </c>
      <c r="B193">
        <v>191</v>
      </c>
      <c r="C193">
        <v>2005</v>
      </c>
      <c r="D193" t="s">
        <v>18</v>
      </c>
      <c r="E193">
        <v>2.8</v>
      </c>
      <c r="F193">
        <v>17.507476189999998</v>
      </c>
      <c r="G193">
        <v>1.7507476189999999E-2</v>
      </c>
      <c r="H193">
        <v>6.2526700678571396</v>
      </c>
      <c r="I193">
        <v>17.507476189999998</v>
      </c>
      <c r="J193">
        <v>2.8</v>
      </c>
      <c r="K193" t="s">
        <v>11</v>
      </c>
      <c r="L193" t="str">
        <f t="shared" si="2"/>
        <v>CD Single</v>
      </c>
    </row>
    <row r="194" spans="1:13" x14ac:dyDescent="0.3">
      <c r="A194">
        <v>192</v>
      </c>
      <c r="B194">
        <v>192</v>
      </c>
      <c r="C194">
        <v>2005</v>
      </c>
      <c r="D194" t="s">
        <v>12</v>
      </c>
      <c r="E194">
        <v>2.5</v>
      </c>
      <c r="F194">
        <v>21.041095238</v>
      </c>
      <c r="G194">
        <v>2.1041095238000001E-2</v>
      </c>
      <c r="H194">
        <v>8.4164380952000002</v>
      </c>
      <c r="I194">
        <v>21.041095238</v>
      </c>
      <c r="J194">
        <v>2.5</v>
      </c>
      <c r="K194" t="s">
        <v>11</v>
      </c>
      <c r="L194" t="str">
        <f t="shared" si="2"/>
        <v>Cassette</v>
      </c>
    </row>
    <row r="195" spans="1:13" x14ac:dyDescent="0.3">
      <c r="A195">
        <v>193</v>
      </c>
      <c r="B195">
        <v>193</v>
      </c>
      <c r="C195">
        <v>2005</v>
      </c>
      <c r="D195" t="s">
        <v>20</v>
      </c>
      <c r="E195">
        <v>0.5</v>
      </c>
      <c r="F195">
        <v>17.989333333000001</v>
      </c>
      <c r="G195">
        <v>1.7989333332999999E-2</v>
      </c>
      <c r="H195">
        <v>35.978666666000002</v>
      </c>
      <c r="I195">
        <v>17.989333333000001</v>
      </c>
      <c r="J195">
        <v>0.5</v>
      </c>
      <c r="K195" t="s">
        <v>11</v>
      </c>
      <c r="L195" t="str">
        <f t="shared" ref="L195:L258" si="3">D195</f>
        <v>DVD Audio</v>
      </c>
    </row>
    <row r="196" spans="1:13" x14ac:dyDescent="0.3">
      <c r="A196">
        <v>194</v>
      </c>
      <c r="B196">
        <v>194</v>
      </c>
      <c r="C196">
        <v>2005</v>
      </c>
      <c r="D196" t="s">
        <v>22</v>
      </c>
      <c r="E196">
        <v>13.6</v>
      </c>
      <c r="F196">
        <v>217.96004761899999</v>
      </c>
      <c r="G196">
        <v>0.21796004761900001</v>
      </c>
      <c r="H196">
        <v>16.026474089632298</v>
      </c>
      <c r="I196">
        <v>217.96004761899999</v>
      </c>
      <c r="J196">
        <v>13.6</v>
      </c>
      <c r="K196" t="s">
        <v>23</v>
      </c>
      <c r="L196" t="str">
        <f t="shared" si="3"/>
        <v>Download Album</v>
      </c>
    </row>
    <row r="197" spans="1:13" x14ac:dyDescent="0.3">
      <c r="A197">
        <v>195</v>
      </c>
      <c r="B197">
        <v>195</v>
      </c>
      <c r="C197">
        <v>2005</v>
      </c>
      <c r="D197" t="s">
        <v>26</v>
      </c>
      <c r="E197">
        <v>1.9</v>
      </c>
      <c r="F197">
        <v>5.9429047620000004</v>
      </c>
      <c r="G197">
        <v>5.9429047620000001E-3</v>
      </c>
      <c r="H197">
        <v>3.12784461157894</v>
      </c>
      <c r="I197">
        <v>5.9429047620000004</v>
      </c>
      <c r="J197">
        <v>1.9</v>
      </c>
      <c r="K197" t="s">
        <v>23</v>
      </c>
      <c r="L197" t="str">
        <f t="shared" si="3"/>
        <v>Download Music Video</v>
      </c>
    </row>
    <row r="198" spans="1:13" x14ac:dyDescent="0.3">
      <c r="A198">
        <v>196</v>
      </c>
      <c r="B198">
        <v>196</v>
      </c>
      <c r="C198">
        <v>2005</v>
      </c>
      <c r="D198" t="s">
        <v>24</v>
      </c>
      <c r="E198">
        <v>366.9</v>
      </c>
      <c r="F198">
        <v>583.529</v>
      </c>
      <c r="G198">
        <v>0.58352899999999996</v>
      </c>
      <c r="H198">
        <v>1.59043063505042</v>
      </c>
      <c r="I198">
        <v>583.529</v>
      </c>
      <c r="J198">
        <v>366.9</v>
      </c>
      <c r="K198" t="s">
        <v>23</v>
      </c>
      <c r="L198" t="str">
        <f t="shared" si="3"/>
        <v>Download Single</v>
      </c>
    </row>
    <row r="199" spans="1:13" x14ac:dyDescent="0.3">
      <c r="A199">
        <v>197</v>
      </c>
      <c r="B199">
        <v>197</v>
      </c>
      <c r="C199">
        <v>2005</v>
      </c>
      <c r="D199" t="s">
        <v>27</v>
      </c>
      <c r="E199">
        <v>0.7</v>
      </c>
      <c r="F199">
        <v>1.6061904760000001</v>
      </c>
      <c r="G199">
        <v>1.606190476E-3</v>
      </c>
      <c r="H199">
        <v>2.2945578228571399</v>
      </c>
      <c r="I199">
        <v>1.6061904760000001</v>
      </c>
      <c r="J199">
        <v>0.7</v>
      </c>
      <c r="K199" t="s">
        <v>23</v>
      </c>
      <c r="L199" t="str">
        <f t="shared" si="3"/>
        <v>Kiosk</v>
      </c>
    </row>
    <row r="200" spans="1:13" x14ac:dyDescent="0.3">
      <c r="A200">
        <v>198</v>
      </c>
      <c r="B200">
        <v>198</v>
      </c>
      <c r="C200">
        <v>2005</v>
      </c>
      <c r="D200" t="s">
        <v>13</v>
      </c>
      <c r="E200">
        <v>1</v>
      </c>
      <c r="F200">
        <v>22.807904762</v>
      </c>
      <c r="G200">
        <v>2.2807904762000002E-2</v>
      </c>
      <c r="H200">
        <v>22.807904762</v>
      </c>
      <c r="I200">
        <v>22.807904762</v>
      </c>
      <c r="J200">
        <v>1</v>
      </c>
      <c r="K200" t="s">
        <v>11</v>
      </c>
      <c r="L200" t="str">
        <f t="shared" si="3"/>
        <v>LP/EP</v>
      </c>
    </row>
    <row r="201" spans="1:13" x14ac:dyDescent="0.3">
      <c r="A201">
        <v>199</v>
      </c>
      <c r="B201">
        <v>199</v>
      </c>
      <c r="C201">
        <v>2005</v>
      </c>
      <c r="D201" t="s">
        <v>19</v>
      </c>
      <c r="E201">
        <v>33.799999999999997</v>
      </c>
      <c r="F201">
        <v>967.24790476199996</v>
      </c>
      <c r="G201">
        <v>0.96724790476199995</v>
      </c>
      <c r="H201">
        <v>28.616801916035499</v>
      </c>
      <c r="I201">
        <v>967.24790476199996</v>
      </c>
      <c r="J201">
        <v>33.799999999999997</v>
      </c>
      <c r="K201" t="s">
        <v>11</v>
      </c>
      <c r="L201" t="str">
        <f t="shared" si="3"/>
        <v>Music Video (Physical)</v>
      </c>
    </row>
    <row r="202" spans="1:13" x14ac:dyDescent="0.3">
      <c r="A202">
        <v>200</v>
      </c>
      <c r="B202">
        <v>200</v>
      </c>
      <c r="C202">
        <v>2005</v>
      </c>
      <c r="D202" t="s">
        <v>28</v>
      </c>
      <c r="F202">
        <v>239.64361904800001</v>
      </c>
      <c r="G202">
        <v>0.239643619048</v>
      </c>
      <c r="I202">
        <v>239.64361904800001</v>
      </c>
      <c r="K202" t="s">
        <v>29</v>
      </c>
      <c r="L202" t="s">
        <v>29</v>
      </c>
      <c r="M202" t="s">
        <v>28</v>
      </c>
    </row>
    <row r="203" spans="1:13" x14ac:dyDescent="0.3">
      <c r="A203">
        <v>201</v>
      </c>
      <c r="B203">
        <v>201</v>
      </c>
      <c r="C203">
        <v>2005</v>
      </c>
      <c r="D203" t="s">
        <v>30</v>
      </c>
      <c r="E203">
        <v>170</v>
      </c>
      <c r="F203">
        <v>677.16990476199999</v>
      </c>
      <c r="G203">
        <v>0.67716990476200001</v>
      </c>
      <c r="H203">
        <v>3.9833523809529399</v>
      </c>
      <c r="I203">
        <v>677.16990476199999</v>
      </c>
      <c r="J203">
        <v>170</v>
      </c>
      <c r="K203" t="s">
        <v>23</v>
      </c>
      <c r="L203" t="str">
        <f t="shared" si="3"/>
        <v>Ringtones &amp; Ringbacks</v>
      </c>
    </row>
    <row r="204" spans="1:13" x14ac:dyDescent="0.3">
      <c r="A204">
        <v>202</v>
      </c>
      <c r="B204">
        <v>202</v>
      </c>
      <c r="C204">
        <v>2005</v>
      </c>
      <c r="D204" t="s">
        <v>21</v>
      </c>
      <c r="E204">
        <v>0.5</v>
      </c>
      <c r="F204">
        <v>16.061904762000001</v>
      </c>
      <c r="G204">
        <v>1.6061904762E-2</v>
      </c>
      <c r="H204">
        <v>32.123809524000002</v>
      </c>
      <c r="I204">
        <v>16.061904762000001</v>
      </c>
      <c r="J204">
        <v>0.5</v>
      </c>
      <c r="K204" t="s">
        <v>11</v>
      </c>
      <c r="L204" t="str">
        <f t="shared" si="3"/>
        <v>SACD</v>
      </c>
    </row>
    <row r="205" spans="1:13" x14ac:dyDescent="0.3">
      <c r="A205">
        <v>203</v>
      </c>
      <c r="B205">
        <v>203</v>
      </c>
      <c r="C205">
        <v>2005</v>
      </c>
      <c r="D205" t="s">
        <v>25</v>
      </c>
      <c r="F205">
        <v>32.766285713999999</v>
      </c>
      <c r="G205">
        <v>3.2766285713999997E-2</v>
      </c>
      <c r="I205">
        <v>32.766285713999999</v>
      </c>
      <c r="K205" t="s">
        <v>23</v>
      </c>
      <c r="L205" t="str">
        <f t="shared" si="3"/>
        <v>SoundExchange Distributions</v>
      </c>
    </row>
    <row r="206" spans="1:13" x14ac:dyDescent="0.3">
      <c r="A206">
        <v>204</v>
      </c>
      <c r="B206">
        <v>204</v>
      </c>
      <c r="C206">
        <v>2005</v>
      </c>
      <c r="D206" t="s">
        <v>15</v>
      </c>
      <c r="E206">
        <v>2.2999999999999998</v>
      </c>
      <c r="F206">
        <v>21.201714286000001</v>
      </c>
      <c r="G206">
        <v>2.1201714286000001E-2</v>
      </c>
      <c r="H206">
        <v>9.2181366460869505</v>
      </c>
      <c r="I206">
        <v>21.201714286000001</v>
      </c>
      <c r="J206">
        <v>2.2999999999999998</v>
      </c>
      <c r="K206" t="s">
        <v>11</v>
      </c>
      <c r="L206" t="str">
        <f t="shared" si="3"/>
        <v>Vinyl Single</v>
      </c>
    </row>
    <row r="207" spans="1:13" x14ac:dyDescent="0.3">
      <c r="A207">
        <v>205</v>
      </c>
      <c r="B207">
        <v>205</v>
      </c>
      <c r="C207">
        <v>2006</v>
      </c>
      <c r="D207" t="s">
        <v>16</v>
      </c>
      <c r="E207">
        <v>619.70000000000005</v>
      </c>
      <c r="F207">
        <v>14583.737705357</v>
      </c>
      <c r="G207">
        <v>14.583737705357001</v>
      </c>
      <c r="H207">
        <v>23.533544788376599</v>
      </c>
      <c r="I207">
        <v>14583.737705357</v>
      </c>
      <c r="J207">
        <v>619.70000000000005</v>
      </c>
      <c r="K207" t="s">
        <v>11</v>
      </c>
      <c r="L207" t="str">
        <f t="shared" si="3"/>
        <v>CD</v>
      </c>
    </row>
    <row r="208" spans="1:13" x14ac:dyDescent="0.3">
      <c r="A208">
        <v>206</v>
      </c>
      <c r="B208">
        <v>206</v>
      </c>
      <c r="C208">
        <v>2006</v>
      </c>
      <c r="D208" t="s">
        <v>18</v>
      </c>
      <c r="E208">
        <v>1.7</v>
      </c>
      <c r="F208">
        <v>11.981177083</v>
      </c>
      <c r="G208">
        <v>1.1981177083E-2</v>
      </c>
      <c r="H208">
        <v>7.0477512252941104</v>
      </c>
      <c r="I208">
        <v>11.981177083</v>
      </c>
      <c r="J208">
        <v>1.7</v>
      </c>
      <c r="K208" t="s">
        <v>11</v>
      </c>
      <c r="L208" t="str">
        <f t="shared" si="3"/>
        <v>CD Single</v>
      </c>
    </row>
    <row r="209" spans="1:13" x14ac:dyDescent="0.3">
      <c r="A209">
        <v>207</v>
      </c>
      <c r="B209">
        <v>207</v>
      </c>
      <c r="C209">
        <v>2006</v>
      </c>
      <c r="D209" t="s">
        <v>12</v>
      </c>
      <c r="E209">
        <v>0.7</v>
      </c>
      <c r="F209">
        <v>5.7571889880000002</v>
      </c>
      <c r="G209">
        <v>5.7571889880000003E-3</v>
      </c>
      <c r="H209">
        <v>8.2245556971428506</v>
      </c>
      <c r="I209">
        <v>5.7571889880000002</v>
      </c>
      <c r="J209">
        <v>0.7</v>
      </c>
      <c r="K209" t="s">
        <v>11</v>
      </c>
      <c r="L209" t="str">
        <f t="shared" si="3"/>
        <v>Cassette</v>
      </c>
    </row>
    <row r="210" spans="1:13" x14ac:dyDescent="0.3">
      <c r="A210">
        <v>208</v>
      </c>
      <c r="B210">
        <v>208</v>
      </c>
      <c r="C210">
        <v>2006</v>
      </c>
      <c r="D210" t="s">
        <v>20</v>
      </c>
      <c r="E210">
        <v>0.1</v>
      </c>
      <c r="F210">
        <v>3.734392857</v>
      </c>
      <c r="G210">
        <v>3.7343928570000001E-3</v>
      </c>
      <c r="H210">
        <v>37.343928569999903</v>
      </c>
      <c r="I210">
        <v>3.734392857</v>
      </c>
      <c r="J210">
        <v>0.1</v>
      </c>
      <c r="K210" t="s">
        <v>11</v>
      </c>
      <c r="L210" t="str">
        <f t="shared" si="3"/>
        <v>DVD Audio</v>
      </c>
    </row>
    <row r="211" spans="1:13" x14ac:dyDescent="0.3">
      <c r="A211">
        <v>209</v>
      </c>
      <c r="B211">
        <v>209</v>
      </c>
      <c r="C211">
        <v>2006</v>
      </c>
      <c r="D211" t="s">
        <v>22</v>
      </c>
      <c r="E211">
        <v>27.6</v>
      </c>
      <c r="F211">
        <v>429.29957886900002</v>
      </c>
      <c r="G211">
        <v>0.429299578869</v>
      </c>
      <c r="H211">
        <v>15.554332567717299</v>
      </c>
      <c r="I211">
        <v>429.29957886900002</v>
      </c>
      <c r="J211">
        <v>27.6</v>
      </c>
      <c r="K211" t="s">
        <v>23</v>
      </c>
      <c r="L211" t="str">
        <f t="shared" si="3"/>
        <v>Download Album</v>
      </c>
    </row>
    <row r="212" spans="1:13" x14ac:dyDescent="0.3">
      <c r="A212">
        <v>210</v>
      </c>
      <c r="B212">
        <v>210</v>
      </c>
      <c r="C212">
        <v>2006</v>
      </c>
      <c r="D212" t="s">
        <v>26</v>
      </c>
      <c r="E212">
        <v>9.9</v>
      </c>
      <c r="F212">
        <v>30.653141369</v>
      </c>
      <c r="G212">
        <v>3.0653141368999999E-2</v>
      </c>
      <c r="H212">
        <v>3.09627690595959</v>
      </c>
      <c r="I212">
        <v>30.653141369</v>
      </c>
      <c r="J212">
        <v>9.9</v>
      </c>
      <c r="K212" t="s">
        <v>23</v>
      </c>
      <c r="L212" t="str">
        <f t="shared" si="3"/>
        <v>Download Music Video</v>
      </c>
    </row>
    <row r="213" spans="1:13" x14ac:dyDescent="0.3">
      <c r="A213">
        <v>211</v>
      </c>
      <c r="B213">
        <v>211</v>
      </c>
      <c r="C213">
        <v>2006</v>
      </c>
      <c r="D213" t="s">
        <v>24</v>
      </c>
      <c r="E213">
        <v>586.4</v>
      </c>
      <c r="F213">
        <v>903.41187202399999</v>
      </c>
      <c r="G213">
        <v>0.90341187202399997</v>
      </c>
      <c r="H213">
        <v>1.54060687589358</v>
      </c>
      <c r="I213">
        <v>903.41187202399999</v>
      </c>
      <c r="J213">
        <v>586.4</v>
      </c>
      <c r="K213" t="s">
        <v>23</v>
      </c>
      <c r="L213" t="str">
        <f t="shared" si="3"/>
        <v>Download Single</v>
      </c>
    </row>
    <row r="214" spans="1:13" x14ac:dyDescent="0.3">
      <c r="A214">
        <v>212</v>
      </c>
      <c r="B214">
        <v>212</v>
      </c>
      <c r="C214">
        <v>2006</v>
      </c>
      <c r="D214" t="s">
        <v>27</v>
      </c>
      <c r="E214">
        <v>1.4</v>
      </c>
      <c r="F214">
        <v>2.9563943450000001</v>
      </c>
      <c r="G214">
        <v>2.9563943450000001E-3</v>
      </c>
      <c r="H214">
        <v>2.11171024642857</v>
      </c>
      <c r="I214">
        <v>2.9563943450000001</v>
      </c>
      <c r="J214">
        <v>1.4</v>
      </c>
      <c r="K214" t="s">
        <v>23</v>
      </c>
      <c r="L214" t="str">
        <f t="shared" si="3"/>
        <v>Kiosk</v>
      </c>
    </row>
    <row r="215" spans="1:13" x14ac:dyDescent="0.3">
      <c r="A215">
        <v>213</v>
      </c>
      <c r="B215">
        <v>213</v>
      </c>
      <c r="C215">
        <v>2006</v>
      </c>
      <c r="D215" t="s">
        <v>13</v>
      </c>
      <c r="E215">
        <v>0.9</v>
      </c>
      <c r="F215">
        <v>24.429153274000001</v>
      </c>
      <c r="G215">
        <v>2.4429153273999998E-2</v>
      </c>
      <c r="H215">
        <v>27.143503637777702</v>
      </c>
      <c r="I215">
        <v>24.429153274000001</v>
      </c>
      <c r="J215">
        <v>0.9</v>
      </c>
      <c r="K215" t="s">
        <v>11</v>
      </c>
      <c r="L215" t="str">
        <f t="shared" si="3"/>
        <v>LP/EP</v>
      </c>
    </row>
    <row r="216" spans="1:13" x14ac:dyDescent="0.3">
      <c r="A216">
        <v>214</v>
      </c>
      <c r="B216">
        <v>214</v>
      </c>
      <c r="C216">
        <v>2006</v>
      </c>
      <c r="D216" t="s">
        <v>19</v>
      </c>
      <c r="E216">
        <v>23.2</v>
      </c>
      <c r="F216">
        <v>701.91025744000001</v>
      </c>
      <c r="G216">
        <v>0.70191025744000002</v>
      </c>
      <c r="H216">
        <v>30.254752475861999</v>
      </c>
      <c r="I216">
        <v>701.91025744000001</v>
      </c>
      <c r="J216">
        <v>23.2</v>
      </c>
      <c r="K216" t="s">
        <v>11</v>
      </c>
      <c r="L216" t="str">
        <f t="shared" si="3"/>
        <v>Music Video (Physical)</v>
      </c>
    </row>
    <row r="217" spans="1:13" x14ac:dyDescent="0.3">
      <c r="A217">
        <v>215</v>
      </c>
      <c r="B217">
        <v>215</v>
      </c>
      <c r="C217">
        <v>2006</v>
      </c>
      <c r="D217" t="s">
        <v>28</v>
      </c>
      <c r="F217">
        <v>320.84658631000002</v>
      </c>
      <c r="G217">
        <v>0.32084658631000001</v>
      </c>
      <c r="I217">
        <v>320.84658631000002</v>
      </c>
      <c r="K217" t="s">
        <v>29</v>
      </c>
      <c r="L217" t="s">
        <v>29</v>
      </c>
      <c r="M217" t="s">
        <v>28</v>
      </c>
    </row>
    <row r="218" spans="1:13" x14ac:dyDescent="0.3">
      <c r="A218">
        <v>216</v>
      </c>
      <c r="B218">
        <v>216</v>
      </c>
      <c r="C218">
        <v>2006</v>
      </c>
      <c r="D218" t="s">
        <v>30</v>
      </c>
      <c r="E218">
        <v>315</v>
      </c>
      <c r="F218">
        <v>1204.0304970239999</v>
      </c>
      <c r="G218">
        <v>1.2040304970239999</v>
      </c>
      <c r="H218">
        <v>3.82231903817142</v>
      </c>
      <c r="I218">
        <v>1204.0304970239999</v>
      </c>
      <c r="J218">
        <v>315</v>
      </c>
      <c r="K218" t="s">
        <v>23</v>
      </c>
      <c r="L218" t="str">
        <f t="shared" si="3"/>
        <v>Ringtones &amp; Ringbacks</v>
      </c>
    </row>
    <row r="219" spans="1:13" x14ac:dyDescent="0.3">
      <c r="A219">
        <v>217</v>
      </c>
      <c r="B219">
        <v>217</v>
      </c>
      <c r="C219">
        <v>2006</v>
      </c>
      <c r="D219" t="s">
        <v>21</v>
      </c>
      <c r="E219">
        <v>0.3</v>
      </c>
      <c r="F219">
        <v>8.5579836310000008</v>
      </c>
      <c r="G219">
        <v>8.5579836310000004E-3</v>
      </c>
      <c r="H219">
        <v>28.526612103333299</v>
      </c>
      <c r="I219">
        <v>8.5579836310000008</v>
      </c>
      <c r="J219">
        <v>0.3</v>
      </c>
      <c r="K219" t="s">
        <v>11</v>
      </c>
      <c r="L219" t="str">
        <f t="shared" si="3"/>
        <v>SACD</v>
      </c>
    </row>
    <row r="220" spans="1:13" x14ac:dyDescent="0.3">
      <c r="A220">
        <v>218</v>
      </c>
      <c r="B220">
        <v>218</v>
      </c>
      <c r="C220">
        <v>2006</v>
      </c>
      <c r="D220" t="s">
        <v>25</v>
      </c>
      <c r="F220">
        <v>51.036702380999998</v>
      </c>
      <c r="G220">
        <v>5.1036702380999999E-2</v>
      </c>
      <c r="I220">
        <v>51.036702380999998</v>
      </c>
      <c r="K220" t="s">
        <v>23</v>
      </c>
      <c r="L220" t="str">
        <f t="shared" si="3"/>
        <v>SoundExchange Distributions</v>
      </c>
    </row>
    <row r="221" spans="1:13" x14ac:dyDescent="0.3">
      <c r="A221">
        <v>219</v>
      </c>
      <c r="B221">
        <v>219</v>
      </c>
      <c r="C221">
        <v>2006</v>
      </c>
      <c r="D221" t="s">
        <v>15</v>
      </c>
      <c r="E221">
        <v>1.5</v>
      </c>
      <c r="F221">
        <v>15.404370536</v>
      </c>
      <c r="G221">
        <v>1.5404370536E-2</v>
      </c>
      <c r="H221">
        <v>10.2695803573333</v>
      </c>
      <c r="I221">
        <v>15.404370536</v>
      </c>
      <c r="J221">
        <v>1.5</v>
      </c>
      <c r="K221" t="s">
        <v>11</v>
      </c>
      <c r="L221" t="str">
        <f t="shared" si="3"/>
        <v>Vinyl Single</v>
      </c>
    </row>
    <row r="222" spans="1:13" x14ac:dyDescent="0.3">
      <c r="A222">
        <v>220</v>
      </c>
      <c r="B222">
        <v>220</v>
      </c>
      <c r="C222">
        <v>2007</v>
      </c>
      <c r="D222" t="s">
        <v>16</v>
      </c>
      <c r="E222">
        <v>499.7</v>
      </c>
      <c r="F222">
        <v>11274.63097057</v>
      </c>
      <c r="G222">
        <v>11.27463097057</v>
      </c>
      <c r="H222">
        <v>22.5627996209125</v>
      </c>
      <c r="I222">
        <v>11274.63097057</v>
      </c>
      <c r="J222">
        <v>499.7</v>
      </c>
      <c r="K222" t="s">
        <v>11</v>
      </c>
      <c r="L222" t="str">
        <f t="shared" si="3"/>
        <v>CD</v>
      </c>
    </row>
    <row r="223" spans="1:13" x14ac:dyDescent="0.3">
      <c r="A223">
        <v>221</v>
      </c>
      <c r="B223">
        <v>221</v>
      </c>
      <c r="C223">
        <v>2007</v>
      </c>
      <c r="D223" t="s">
        <v>18</v>
      </c>
      <c r="E223">
        <v>2.6</v>
      </c>
      <c r="F223">
        <v>18.457455798000002</v>
      </c>
      <c r="G223">
        <v>1.8457455798E-2</v>
      </c>
      <c r="H223">
        <v>7.0990214607692304</v>
      </c>
      <c r="I223">
        <v>18.457455798000002</v>
      </c>
      <c r="J223">
        <v>2.6</v>
      </c>
      <c r="K223" t="s">
        <v>11</v>
      </c>
      <c r="L223" t="str">
        <f t="shared" si="3"/>
        <v>CD Single</v>
      </c>
    </row>
    <row r="224" spans="1:13" x14ac:dyDescent="0.3">
      <c r="A224">
        <v>222</v>
      </c>
      <c r="B224">
        <v>222</v>
      </c>
      <c r="C224">
        <v>2007</v>
      </c>
      <c r="D224" t="s">
        <v>12</v>
      </c>
      <c r="E224">
        <v>0.4</v>
      </c>
      <c r="F224">
        <v>4.5387186389999998</v>
      </c>
      <c r="G224">
        <v>4.5387186390000002E-3</v>
      </c>
      <c r="H224">
        <v>11.346796597499999</v>
      </c>
      <c r="I224">
        <v>4.5387186389999998</v>
      </c>
      <c r="J224">
        <v>0.4</v>
      </c>
      <c r="K224" t="s">
        <v>11</v>
      </c>
      <c r="L224" t="str">
        <f t="shared" si="3"/>
        <v>Cassette</v>
      </c>
    </row>
    <row r="225" spans="1:13" x14ac:dyDescent="0.3">
      <c r="A225">
        <v>223</v>
      </c>
      <c r="B225">
        <v>223</v>
      </c>
      <c r="C225">
        <v>2007</v>
      </c>
      <c r="D225" t="s">
        <v>20</v>
      </c>
      <c r="E225">
        <v>0.2</v>
      </c>
      <c r="F225">
        <v>4.2361373960000002</v>
      </c>
      <c r="G225">
        <v>4.2361373960000002E-3</v>
      </c>
      <c r="H225">
        <v>21.180686980000001</v>
      </c>
      <c r="I225">
        <v>4.2361373960000002</v>
      </c>
      <c r="J225">
        <v>0.2</v>
      </c>
      <c r="K225" t="s">
        <v>11</v>
      </c>
      <c r="L225" t="str">
        <f t="shared" si="3"/>
        <v>DVD Audio</v>
      </c>
    </row>
    <row r="226" spans="1:13" x14ac:dyDescent="0.3">
      <c r="A226">
        <v>224</v>
      </c>
      <c r="B226">
        <v>224</v>
      </c>
      <c r="C226">
        <v>2007</v>
      </c>
      <c r="D226" t="s">
        <v>22</v>
      </c>
      <c r="E226">
        <v>49.8</v>
      </c>
      <c r="F226">
        <v>752.51955030800002</v>
      </c>
      <c r="G226">
        <v>0.752519550308</v>
      </c>
      <c r="H226">
        <v>15.110834343534099</v>
      </c>
      <c r="I226">
        <v>752.51955030800002</v>
      </c>
      <c r="J226">
        <v>49.8</v>
      </c>
      <c r="K226" t="s">
        <v>23</v>
      </c>
      <c r="L226" t="str">
        <f t="shared" si="3"/>
        <v>Download Album</v>
      </c>
    </row>
    <row r="227" spans="1:13" x14ac:dyDescent="0.3">
      <c r="A227">
        <v>225</v>
      </c>
      <c r="B227">
        <v>225</v>
      </c>
      <c r="C227">
        <v>2007</v>
      </c>
      <c r="D227" t="s">
        <v>26</v>
      </c>
      <c r="E227">
        <v>14.2</v>
      </c>
      <c r="F227">
        <v>42.663955203999997</v>
      </c>
      <c r="G227">
        <v>4.2663955204000001E-2</v>
      </c>
      <c r="H227">
        <v>3.00450388760563</v>
      </c>
      <c r="I227">
        <v>42.663955203999997</v>
      </c>
      <c r="J227">
        <v>14.2</v>
      </c>
      <c r="K227" t="s">
        <v>23</v>
      </c>
      <c r="L227" t="str">
        <f t="shared" si="3"/>
        <v>Download Music Video</v>
      </c>
    </row>
    <row r="228" spans="1:13" x14ac:dyDescent="0.3">
      <c r="A228">
        <v>226</v>
      </c>
      <c r="B228">
        <v>226</v>
      </c>
      <c r="C228">
        <v>2007</v>
      </c>
      <c r="D228" t="s">
        <v>24</v>
      </c>
      <c r="E228">
        <v>819.4</v>
      </c>
      <c r="F228">
        <v>1226.9669386810001</v>
      </c>
      <c r="G228">
        <v>1.226966938681</v>
      </c>
      <c r="H228">
        <v>1.49739680092872</v>
      </c>
      <c r="I228">
        <v>1226.9669386810001</v>
      </c>
      <c r="J228">
        <v>819.4</v>
      </c>
      <c r="K228" t="s">
        <v>23</v>
      </c>
      <c r="L228" t="str">
        <f t="shared" si="3"/>
        <v>Download Single</v>
      </c>
    </row>
    <row r="229" spans="1:13" x14ac:dyDescent="0.3">
      <c r="A229">
        <v>227</v>
      </c>
      <c r="B229">
        <v>227</v>
      </c>
      <c r="C229">
        <v>2007</v>
      </c>
      <c r="D229" t="s">
        <v>27</v>
      </c>
      <c r="E229">
        <v>1.8</v>
      </c>
      <c r="F229">
        <v>3.9335561540000001</v>
      </c>
      <c r="G229">
        <v>3.9335561539999998E-3</v>
      </c>
      <c r="H229">
        <v>2.1853089744444398</v>
      </c>
      <c r="I229">
        <v>3.9335561540000001</v>
      </c>
      <c r="J229">
        <v>1.8</v>
      </c>
      <c r="K229" t="s">
        <v>23</v>
      </c>
      <c r="L229" t="str">
        <f t="shared" si="3"/>
        <v>Kiosk</v>
      </c>
    </row>
    <row r="230" spans="1:13" x14ac:dyDescent="0.3">
      <c r="A230">
        <v>228</v>
      </c>
      <c r="B230">
        <v>228</v>
      </c>
      <c r="C230">
        <v>2007</v>
      </c>
      <c r="D230" t="s">
        <v>13</v>
      </c>
      <c r="E230">
        <v>1.3</v>
      </c>
      <c r="F230">
        <v>34.645552275999997</v>
      </c>
      <c r="G230">
        <v>3.4645552275999997E-2</v>
      </c>
      <c r="H230">
        <v>26.650424827692301</v>
      </c>
      <c r="I230">
        <v>34.645552275999997</v>
      </c>
      <c r="J230">
        <v>1.3</v>
      </c>
      <c r="K230" t="s">
        <v>11</v>
      </c>
      <c r="L230" t="str">
        <f t="shared" si="3"/>
        <v>LP/EP</v>
      </c>
    </row>
    <row r="231" spans="1:13" x14ac:dyDescent="0.3">
      <c r="A231">
        <v>229</v>
      </c>
      <c r="B231">
        <v>229</v>
      </c>
      <c r="C231">
        <v>2007</v>
      </c>
      <c r="D231" t="s">
        <v>19</v>
      </c>
      <c r="E231">
        <v>27.5</v>
      </c>
      <c r="F231">
        <v>733.60822264700005</v>
      </c>
      <c r="G231">
        <v>0.73360822264699999</v>
      </c>
      <c r="H231">
        <v>26.676662641709001</v>
      </c>
      <c r="I231">
        <v>733.60822264700005</v>
      </c>
      <c r="J231">
        <v>27.5</v>
      </c>
      <c r="K231" t="s">
        <v>11</v>
      </c>
      <c r="L231" t="str">
        <f t="shared" si="3"/>
        <v>Music Video (Physical)</v>
      </c>
    </row>
    <row r="232" spans="1:13" x14ac:dyDescent="0.3">
      <c r="A232">
        <v>230</v>
      </c>
      <c r="B232">
        <v>230</v>
      </c>
      <c r="C232">
        <v>2007</v>
      </c>
      <c r="D232" t="s">
        <v>28</v>
      </c>
      <c r="F232">
        <v>354.020053824</v>
      </c>
      <c r="G232">
        <v>0.35402005382399998</v>
      </c>
      <c r="I232">
        <v>354.020053824</v>
      </c>
      <c r="K232" t="s">
        <v>29</v>
      </c>
      <c r="L232" t="s">
        <v>29</v>
      </c>
      <c r="M232" t="s">
        <v>28</v>
      </c>
    </row>
    <row r="233" spans="1:13" x14ac:dyDescent="0.3">
      <c r="A233">
        <v>231</v>
      </c>
      <c r="B233">
        <v>231</v>
      </c>
      <c r="C233">
        <v>2007</v>
      </c>
      <c r="D233" t="s">
        <v>30</v>
      </c>
      <c r="E233">
        <v>433.8</v>
      </c>
      <c r="F233">
        <v>1597.3263796050001</v>
      </c>
      <c r="G233">
        <v>1.5973263796049999</v>
      </c>
      <c r="H233">
        <v>3.68217238267634</v>
      </c>
      <c r="I233">
        <v>1597.3263796050001</v>
      </c>
      <c r="J233">
        <v>433.8</v>
      </c>
      <c r="K233" t="s">
        <v>23</v>
      </c>
      <c r="L233" t="str">
        <f t="shared" si="3"/>
        <v>Ringtones &amp; Ringbacks</v>
      </c>
    </row>
    <row r="234" spans="1:13" x14ac:dyDescent="0.3">
      <c r="A234">
        <v>232</v>
      </c>
      <c r="B234">
        <v>232</v>
      </c>
      <c r="C234">
        <v>2007</v>
      </c>
      <c r="D234" t="s">
        <v>21</v>
      </c>
      <c r="E234">
        <v>0.2</v>
      </c>
      <c r="F234">
        <v>5.4464623669999996</v>
      </c>
      <c r="G234">
        <v>5.4464623669999998E-3</v>
      </c>
      <c r="H234">
        <v>27.232311834999901</v>
      </c>
      <c r="I234">
        <v>5.4464623669999996</v>
      </c>
      <c r="J234">
        <v>0.2</v>
      </c>
      <c r="K234" t="s">
        <v>11</v>
      </c>
      <c r="L234" t="str">
        <f t="shared" si="3"/>
        <v>SACD</v>
      </c>
    </row>
    <row r="235" spans="1:13" x14ac:dyDescent="0.3">
      <c r="A235">
        <v>233</v>
      </c>
      <c r="B235">
        <v>233</v>
      </c>
      <c r="C235">
        <v>2007</v>
      </c>
      <c r="D235" t="s">
        <v>25</v>
      </c>
      <c r="F235">
        <v>54.767204907999997</v>
      </c>
      <c r="G235">
        <v>5.4767204907999897E-2</v>
      </c>
      <c r="I235">
        <v>54.767204907999997</v>
      </c>
      <c r="K235" t="s">
        <v>23</v>
      </c>
      <c r="L235" t="str">
        <f t="shared" si="3"/>
        <v>SoundExchange Distributions</v>
      </c>
    </row>
    <row r="236" spans="1:13" x14ac:dyDescent="0.3">
      <c r="A236">
        <v>234</v>
      </c>
      <c r="B236">
        <v>234</v>
      </c>
      <c r="C236">
        <v>2007</v>
      </c>
      <c r="D236" t="s">
        <v>15</v>
      </c>
      <c r="E236">
        <v>0.6</v>
      </c>
      <c r="F236">
        <v>6.0516248519999998</v>
      </c>
      <c r="G236">
        <v>6.0516248520000003E-3</v>
      </c>
      <c r="H236">
        <v>10.086041420000001</v>
      </c>
      <c r="I236">
        <v>6.0516248519999998</v>
      </c>
      <c r="J236">
        <v>0.6</v>
      </c>
      <c r="K236" t="s">
        <v>11</v>
      </c>
      <c r="L236" t="str">
        <f t="shared" si="3"/>
        <v>Vinyl Single</v>
      </c>
    </row>
    <row r="237" spans="1:13" x14ac:dyDescent="0.3">
      <c r="A237">
        <v>235</v>
      </c>
      <c r="B237">
        <v>235</v>
      </c>
      <c r="C237">
        <v>2008</v>
      </c>
      <c r="D237" t="s">
        <v>16</v>
      </c>
      <c r="E237">
        <v>368.4</v>
      </c>
      <c r="F237">
        <v>7971.4942462480003</v>
      </c>
      <c r="G237">
        <v>7.9714942462479996</v>
      </c>
      <c r="H237">
        <v>21.638149419782799</v>
      </c>
      <c r="I237">
        <v>7971.4942462480003</v>
      </c>
      <c r="J237">
        <v>368.4</v>
      </c>
      <c r="K237" t="s">
        <v>11</v>
      </c>
      <c r="L237" t="str">
        <f t="shared" si="3"/>
        <v>CD</v>
      </c>
    </row>
    <row r="238" spans="1:13" x14ac:dyDescent="0.3">
      <c r="A238">
        <v>236</v>
      </c>
      <c r="B238">
        <v>236</v>
      </c>
      <c r="C238">
        <v>2008</v>
      </c>
      <c r="D238" t="s">
        <v>18</v>
      </c>
      <c r="E238">
        <v>0.7</v>
      </c>
      <c r="F238">
        <v>5.09937855</v>
      </c>
      <c r="G238">
        <v>5.0993785500000003E-3</v>
      </c>
      <c r="H238">
        <v>7.2848265000000003</v>
      </c>
      <c r="I238">
        <v>5.09937855</v>
      </c>
      <c r="J238">
        <v>0.7</v>
      </c>
      <c r="K238" t="s">
        <v>11</v>
      </c>
      <c r="L238" t="str">
        <f t="shared" si="3"/>
        <v>CD Single</v>
      </c>
    </row>
    <row r="239" spans="1:13" x14ac:dyDescent="0.3">
      <c r="A239">
        <v>237</v>
      </c>
      <c r="B239">
        <v>237</v>
      </c>
      <c r="C239">
        <v>2008</v>
      </c>
      <c r="D239" t="s">
        <v>12</v>
      </c>
      <c r="E239">
        <v>0.1</v>
      </c>
      <c r="F239">
        <v>1.3112687700000001</v>
      </c>
      <c r="G239">
        <v>1.3112687699999999E-3</v>
      </c>
      <c r="H239">
        <v>13.1126877</v>
      </c>
      <c r="I239">
        <v>1.3112687700000001</v>
      </c>
      <c r="J239">
        <v>0.1</v>
      </c>
      <c r="K239" t="s">
        <v>11</v>
      </c>
      <c r="L239" t="str">
        <f t="shared" si="3"/>
        <v>Cassette</v>
      </c>
    </row>
    <row r="240" spans="1:13" x14ac:dyDescent="0.3">
      <c r="A240">
        <v>238</v>
      </c>
      <c r="B240">
        <v>238</v>
      </c>
      <c r="C240">
        <v>2008</v>
      </c>
      <c r="D240" t="s">
        <v>20</v>
      </c>
      <c r="E240">
        <v>0.04</v>
      </c>
      <c r="F240">
        <v>1.7483583599999999</v>
      </c>
      <c r="G240">
        <v>1.7483583599999901E-3</v>
      </c>
      <c r="H240">
        <v>43.708958999999901</v>
      </c>
      <c r="I240">
        <v>1.7483583599999999</v>
      </c>
      <c r="J240">
        <v>0.04</v>
      </c>
      <c r="K240" t="s">
        <v>11</v>
      </c>
      <c r="L240" t="str">
        <f t="shared" si="3"/>
        <v>DVD Audio</v>
      </c>
    </row>
    <row r="241" spans="1:13" x14ac:dyDescent="0.3">
      <c r="A241">
        <v>239</v>
      </c>
      <c r="B241">
        <v>239</v>
      </c>
      <c r="C241">
        <v>2008</v>
      </c>
      <c r="D241" t="s">
        <v>22</v>
      </c>
      <c r="E241">
        <v>63.6</v>
      </c>
      <c r="F241">
        <v>925.61005513199996</v>
      </c>
      <c r="G241">
        <v>0.92561005513200001</v>
      </c>
      <c r="H241">
        <v>14.5536172190566</v>
      </c>
      <c r="I241">
        <v>925.61005513199996</v>
      </c>
      <c r="J241">
        <v>63.6</v>
      </c>
      <c r="K241" t="s">
        <v>23</v>
      </c>
      <c r="L241" t="str">
        <f t="shared" si="3"/>
        <v>Download Album</v>
      </c>
    </row>
    <row r="242" spans="1:13" x14ac:dyDescent="0.3">
      <c r="A242">
        <v>240</v>
      </c>
      <c r="B242">
        <v>240</v>
      </c>
      <c r="C242">
        <v>2008</v>
      </c>
      <c r="D242" t="s">
        <v>26</v>
      </c>
      <c r="E242">
        <v>20.8</v>
      </c>
      <c r="F242">
        <v>60.172666892999999</v>
      </c>
      <c r="G242">
        <v>6.0172666893E-2</v>
      </c>
      <c r="H242">
        <v>2.8929166775480701</v>
      </c>
      <c r="I242">
        <v>60.172666892999999</v>
      </c>
      <c r="J242">
        <v>20.8</v>
      </c>
      <c r="K242" t="s">
        <v>23</v>
      </c>
      <c r="L242" t="str">
        <f t="shared" si="3"/>
        <v>Download Music Video</v>
      </c>
    </row>
    <row r="243" spans="1:13" x14ac:dyDescent="0.3">
      <c r="A243">
        <v>241</v>
      </c>
      <c r="B243">
        <v>241</v>
      </c>
      <c r="C243">
        <v>2008</v>
      </c>
      <c r="D243" t="s">
        <v>24</v>
      </c>
      <c r="E243">
        <v>1042.7</v>
      </c>
      <c r="F243">
        <v>1503.8795827280001</v>
      </c>
      <c r="G243">
        <v>1.503879582728</v>
      </c>
      <c r="H243">
        <v>1.4422936441239</v>
      </c>
      <c r="I243">
        <v>1503.8795827280001</v>
      </c>
      <c r="J243">
        <v>1042.7</v>
      </c>
      <c r="K243" t="s">
        <v>23</v>
      </c>
      <c r="L243" t="str">
        <f t="shared" si="3"/>
        <v>Download Single</v>
      </c>
    </row>
    <row r="244" spans="1:13" x14ac:dyDescent="0.3">
      <c r="A244">
        <v>242</v>
      </c>
      <c r="B244">
        <v>242</v>
      </c>
      <c r="C244">
        <v>2008</v>
      </c>
      <c r="D244" t="s">
        <v>27</v>
      </c>
      <c r="E244">
        <v>1.6</v>
      </c>
      <c r="F244">
        <v>3.7881097800000001</v>
      </c>
      <c r="G244">
        <v>3.7881097799999999E-3</v>
      </c>
      <c r="H244">
        <v>2.3675686124999999</v>
      </c>
      <c r="I244">
        <v>3.7881097800000001</v>
      </c>
      <c r="J244">
        <v>1.6</v>
      </c>
      <c r="K244" t="s">
        <v>23</v>
      </c>
      <c r="L244" t="str">
        <f t="shared" si="3"/>
        <v>Kiosk</v>
      </c>
    </row>
    <row r="245" spans="1:13" x14ac:dyDescent="0.3">
      <c r="A245">
        <v>243</v>
      </c>
      <c r="B245">
        <v>243</v>
      </c>
      <c r="C245">
        <v>2008</v>
      </c>
      <c r="D245" t="s">
        <v>13</v>
      </c>
      <c r="E245">
        <v>2.9</v>
      </c>
      <c r="F245">
        <v>82.609932513999993</v>
      </c>
      <c r="G245">
        <v>8.2609932513999895E-2</v>
      </c>
      <c r="H245">
        <v>28.486183625517199</v>
      </c>
      <c r="I245">
        <v>82.609932513999993</v>
      </c>
      <c r="J245">
        <v>2.9</v>
      </c>
      <c r="K245" t="s">
        <v>11</v>
      </c>
      <c r="L245" t="str">
        <f t="shared" si="3"/>
        <v>LP/EP</v>
      </c>
    </row>
    <row r="246" spans="1:13" x14ac:dyDescent="0.3">
      <c r="A246">
        <v>244</v>
      </c>
      <c r="B246">
        <v>244</v>
      </c>
      <c r="C246">
        <v>2008</v>
      </c>
      <c r="D246" t="s">
        <v>19</v>
      </c>
      <c r="E246">
        <v>13.2</v>
      </c>
      <c r="F246">
        <v>331.16821270499997</v>
      </c>
      <c r="G246">
        <v>0.33116821270499902</v>
      </c>
      <c r="H246">
        <v>25.0885009625</v>
      </c>
      <c r="I246">
        <v>331.16821270499997</v>
      </c>
      <c r="J246">
        <v>13.2</v>
      </c>
      <c r="K246" t="s">
        <v>11</v>
      </c>
      <c r="L246" t="str">
        <f t="shared" si="3"/>
        <v>Music Video (Physical)</v>
      </c>
    </row>
    <row r="247" spans="1:13" x14ac:dyDescent="0.3">
      <c r="A247">
        <v>245</v>
      </c>
      <c r="B247">
        <v>245</v>
      </c>
      <c r="C247">
        <v>2008</v>
      </c>
      <c r="D247" t="s">
        <v>28</v>
      </c>
      <c r="F247">
        <v>322.57211743400001</v>
      </c>
      <c r="G247">
        <v>0.32257211743399999</v>
      </c>
      <c r="I247">
        <v>322.57211743400001</v>
      </c>
      <c r="K247" t="s">
        <v>29</v>
      </c>
      <c r="L247" t="s">
        <v>29</v>
      </c>
      <c r="M247" t="s">
        <v>28</v>
      </c>
    </row>
    <row r="248" spans="1:13" x14ac:dyDescent="0.3">
      <c r="A248">
        <v>246</v>
      </c>
      <c r="B248">
        <v>246</v>
      </c>
      <c r="C248">
        <v>2008</v>
      </c>
      <c r="D248" t="s">
        <v>30</v>
      </c>
      <c r="E248">
        <v>405.1</v>
      </c>
      <c r="F248">
        <v>1423.6007946939999</v>
      </c>
      <c r="G248">
        <v>1.4236007946939999</v>
      </c>
      <c r="H248">
        <v>3.5141959878894</v>
      </c>
      <c r="I248">
        <v>1423.6007946939999</v>
      </c>
      <c r="J248">
        <v>405.1</v>
      </c>
      <c r="K248" t="s">
        <v>23</v>
      </c>
      <c r="L248" t="str">
        <f t="shared" si="3"/>
        <v>Ringtones &amp; Ringbacks</v>
      </c>
    </row>
    <row r="249" spans="1:13" x14ac:dyDescent="0.3">
      <c r="A249">
        <v>247</v>
      </c>
      <c r="B249">
        <v>247</v>
      </c>
      <c r="C249">
        <v>2008</v>
      </c>
      <c r="D249" t="s">
        <v>21</v>
      </c>
      <c r="E249">
        <v>0.1</v>
      </c>
      <c r="F249">
        <v>4.5165924300000002</v>
      </c>
      <c r="G249">
        <v>4.5165924299999998E-3</v>
      </c>
      <c r="H249">
        <v>45.1659243</v>
      </c>
      <c r="I249">
        <v>4.5165924300000002</v>
      </c>
      <c r="J249">
        <v>0.1</v>
      </c>
      <c r="K249" t="s">
        <v>11</v>
      </c>
      <c r="L249" t="str">
        <f t="shared" si="3"/>
        <v>SACD</v>
      </c>
    </row>
    <row r="250" spans="1:13" x14ac:dyDescent="0.3">
      <c r="A250">
        <v>248</v>
      </c>
      <c r="B250">
        <v>248</v>
      </c>
      <c r="C250">
        <v>2008</v>
      </c>
      <c r="D250" t="s">
        <v>25</v>
      </c>
      <c r="F250">
        <v>145.69653000700001</v>
      </c>
      <c r="G250">
        <v>0.145696530007</v>
      </c>
      <c r="I250">
        <v>145.69653000700001</v>
      </c>
      <c r="K250" t="s">
        <v>23</v>
      </c>
      <c r="L250" t="str">
        <f t="shared" si="3"/>
        <v>SoundExchange Distributions</v>
      </c>
    </row>
    <row r="251" spans="1:13" x14ac:dyDescent="0.3">
      <c r="A251">
        <v>249</v>
      </c>
      <c r="B251">
        <v>249</v>
      </c>
      <c r="C251">
        <v>2008</v>
      </c>
      <c r="D251" t="s">
        <v>15</v>
      </c>
      <c r="E251">
        <v>0.4</v>
      </c>
      <c r="F251">
        <v>4.2251993700000003</v>
      </c>
      <c r="G251">
        <v>4.2251993700000001E-3</v>
      </c>
      <c r="H251">
        <v>10.562998425</v>
      </c>
      <c r="I251">
        <v>4.2251993700000003</v>
      </c>
      <c r="J251">
        <v>0.4</v>
      </c>
      <c r="K251" t="s">
        <v>11</v>
      </c>
      <c r="L251" t="str">
        <f t="shared" si="3"/>
        <v>Vinyl Single</v>
      </c>
    </row>
    <row r="252" spans="1:13" x14ac:dyDescent="0.3">
      <c r="A252">
        <v>250</v>
      </c>
      <c r="B252">
        <v>250</v>
      </c>
      <c r="C252">
        <v>2009</v>
      </c>
      <c r="D252" t="s">
        <v>16</v>
      </c>
      <c r="E252">
        <v>296.60000000000002</v>
      </c>
      <c r="F252">
        <v>6314.8084162639998</v>
      </c>
      <c r="G252">
        <v>6.3148084162640004</v>
      </c>
      <c r="H252">
        <v>21.290655483020899</v>
      </c>
      <c r="I252">
        <v>6314.8084162639998</v>
      </c>
      <c r="J252">
        <v>296.60000000000002</v>
      </c>
      <c r="K252" t="s">
        <v>11</v>
      </c>
      <c r="L252" t="str">
        <f t="shared" si="3"/>
        <v>CD</v>
      </c>
    </row>
    <row r="253" spans="1:13" x14ac:dyDescent="0.3">
      <c r="A253">
        <v>251</v>
      </c>
      <c r="B253">
        <v>251</v>
      </c>
      <c r="C253">
        <v>2009</v>
      </c>
      <c r="D253" t="s">
        <v>18</v>
      </c>
      <c r="E253">
        <v>0.9</v>
      </c>
      <c r="F253">
        <v>4.5327188319999996</v>
      </c>
      <c r="G253">
        <v>4.532718832E-3</v>
      </c>
      <c r="H253">
        <v>5.03635425777777</v>
      </c>
      <c r="I253">
        <v>4.5327188319999996</v>
      </c>
      <c r="J253">
        <v>0.9</v>
      </c>
      <c r="K253" t="s">
        <v>11</v>
      </c>
      <c r="L253" t="str">
        <f t="shared" si="3"/>
        <v>CD Single</v>
      </c>
    </row>
    <row r="254" spans="1:13" x14ac:dyDescent="0.3">
      <c r="A254">
        <v>252</v>
      </c>
      <c r="B254">
        <v>252</v>
      </c>
      <c r="C254">
        <v>2009</v>
      </c>
      <c r="D254" t="s">
        <v>20</v>
      </c>
      <c r="E254">
        <v>0.1</v>
      </c>
      <c r="F254">
        <v>2.339467784</v>
      </c>
      <c r="G254">
        <v>2.3394677839999999E-3</v>
      </c>
      <c r="H254">
        <v>23.39467784</v>
      </c>
      <c r="I254">
        <v>2.339467784</v>
      </c>
      <c r="J254">
        <v>0.1</v>
      </c>
      <c r="K254" t="s">
        <v>11</v>
      </c>
      <c r="L254" t="str">
        <f t="shared" si="3"/>
        <v>DVD Audio</v>
      </c>
    </row>
    <row r="255" spans="1:13" x14ac:dyDescent="0.3">
      <c r="A255">
        <v>253</v>
      </c>
      <c r="B255">
        <v>253</v>
      </c>
      <c r="C255">
        <v>2009</v>
      </c>
      <c r="D255" t="s">
        <v>22</v>
      </c>
      <c r="E255">
        <v>74.5</v>
      </c>
      <c r="F255">
        <v>1088.291169822</v>
      </c>
      <c r="G255">
        <v>1.0882911698219999</v>
      </c>
      <c r="H255">
        <v>14.607935165395901</v>
      </c>
      <c r="I255">
        <v>1088.291169822</v>
      </c>
      <c r="J255">
        <v>74.5</v>
      </c>
      <c r="K255" t="s">
        <v>23</v>
      </c>
      <c r="L255" t="str">
        <f t="shared" si="3"/>
        <v>Download Album</v>
      </c>
    </row>
    <row r="256" spans="1:13" x14ac:dyDescent="0.3">
      <c r="A256">
        <v>254</v>
      </c>
      <c r="B256">
        <v>254</v>
      </c>
      <c r="C256">
        <v>2009</v>
      </c>
      <c r="D256" t="s">
        <v>26</v>
      </c>
      <c r="E256">
        <v>20.5</v>
      </c>
      <c r="F256">
        <v>59.802645231</v>
      </c>
      <c r="G256">
        <v>5.9802645230999998E-2</v>
      </c>
      <c r="H256">
        <v>2.9172022063902401</v>
      </c>
      <c r="I256">
        <v>59.802645231</v>
      </c>
      <c r="J256">
        <v>20.5</v>
      </c>
      <c r="K256" t="s">
        <v>23</v>
      </c>
      <c r="L256" t="str">
        <f t="shared" si="3"/>
        <v>Download Music Video</v>
      </c>
    </row>
    <row r="257" spans="1:13" x14ac:dyDescent="0.3">
      <c r="A257">
        <v>255</v>
      </c>
      <c r="B257">
        <v>255</v>
      </c>
      <c r="C257">
        <v>2009</v>
      </c>
      <c r="D257" t="s">
        <v>24</v>
      </c>
      <c r="E257">
        <v>1124.4000000000001</v>
      </c>
      <c r="F257">
        <v>1713.660151862</v>
      </c>
      <c r="G257">
        <v>1.713660151862</v>
      </c>
      <c r="H257">
        <v>1.5240663036837401</v>
      </c>
      <c r="I257">
        <v>1713.660151862</v>
      </c>
      <c r="J257">
        <v>1124.4000000000001</v>
      </c>
      <c r="K257" t="s">
        <v>23</v>
      </c>
      <c r="L257" t="str">
        <f t="shared" si="3"/>
        <v>Download Single</v>
      </c>
    </row>
    <row r="258" spans="1:13" x14ac:dyDescent="0.3">
      <c r="A258">
        <v>256</v>
      </c>
      <c r="B258">
        <v>256</v>
      </c>
      <c r="C258">
        <v>2009</v>
      </c>
      <c r="D258" t="s">
        <v>27</v>
      </c>
      <c r="E258">
        <v>1.7</v>
      </c>
      <c r="F258">
        <v>9.2116544000000005</v>
      </c>
      <c r="G258">
        <v>9.2116543999999998E-3</v>
      </c>
      <c r="H258">
        <v>5.4186202352941102</v>
      </c>
      <c r="I258">
        <v>9.2116544000000005</v>
      </c>
      <c r="J258">
        <v>1.7</v>
      </c>
      <c r="K258" t="s">
        <v>23</v>
      </c>
      <c r="L258" t="str">
        <f t="shared" si="3"/>
        <v>Kiosk</v>
      </c>
    </row>
    <row r="259" spans="1:13" x14ac:dyDescent="0.3">
      <c r="A259">
        <v>257</v>
      </c>
      <c r="B259">
        <v>257</v>
      </c>
      <c r="C259">
        <v>2009</v>
      </c>
      <c r="D259" t="s">
        <v>13</v>
      </c>
      <c r="E259">
        <v>3.5</v>
      </c>
      <c r="F259">
        <v>93.286277890999997</v>
      </c>
      <c r="G259">
        <v>9.3286277890999997E-2</v>
      </c>
      <c r="H259">
        <v>26.6532222545714</v>
      </c>
      <c r="I259">
        <v>93.286277890999997</v>
      </c>
      <c r="J259">
        <v>3.5</v>
      </c>
      <c r="K259" t="s">
        <v>11</v>
      </c>
      <c r="L259" t="str">
        <f t="shared" ref="L259:L322" si="4">D259</f>
        <v>LP/EP</v>
      </c>
    </row>
    <row r="260" spans="1:13" x14ac:dyDescent="0.3">
      <c r="A260">
        <v>258</v>
      </c>
      <c r="B260">
        <v>258</v>
      </c>
      <c r="C260">
        <v>2009</v>
      </c>
      <c r="D260" t="s">
        <v>19</v>
      </c>
      <c r="E260">
        <v>11.6</v>
      </c>
      <c r="F260">
        <v>306.47027971900002</v>
      </c>
      <c r="G260">
        <v>0.30647027971899998</v>
      </c>
      <c r="H260">
        <v>26.4198516999137</v>
      </c>
      <c r="I260">
        <v>306.47027971900002</v>
      </c>
      <c r="J260">
        <v>11.6</v>
      </c>
      <c r="K260" t="s">
        <v>11</v>
      </c>
      <c r="L260" t="str">
        <f t="shared" si="4"/>
        <v>Music Video (Physical)</v>
      </c>
    </row>
    <row r="261" spans="1:13" x14ac:dyDescent="0.3">
      <c r="A261">
        <v>259</v>
      </c>
      <c r="B261">
        <v>259</v>
      </c>
      <c r="C261">
        <v>2009</v>
      </c>
      <c r="D261" t="s">
        <v>28</v>
      </c>
      <c r="F261">
        <v>301.49891067700003</v>
      </c>
      <c r="G261">
        <v>0.30149891067700002</v>
      </c>
      <c r="I261">
        <v>301.49891067700003</v>
      </c>
      <c r="K261" t="s">
        <v>29</v>
      </c>
      <c r="L261" t="s">
        <v>29</v>
      </c>
      <c r="M261" t="s">
        <v>28</v>
      </c>
    </row>
    <row r="262" spans="1:13" x14ac:dyDescent="0.3">
      <c r="A262">
        <v>260</v>
      </c>
      <c r="B262">
        <v>260</v>
      </c>
      <c r="C262">
        <v>2009</v>
      </c>
      <c r="D262" t="s">
        <v>30</v>
      </c>
      <c r="E262">
        <v>294.3</v>
      </c>
      <c r="F262">
        <v>1027.611224171</v>
      </c>
      <c r="G262">
        <v>1.027611224171</v>
      </c>
      <c r="H262">
        <v>3.4917132999354399</v>
      </c>
      <c r="I262">
        <v>1027.611224171</v>
      </c>
      <c r="J262">
        <v>294.3</v>
      </c>
      <c r="K262" t="s">
        <v>23</v>
      </c>
      <c r="L262" t="str">
        <f t="shared" si="4"/>
        <v>Ringtones &amp; Ringbacks</v>
      </c>
    </row>
    <row r="263" spans="1:13" x14ac:dyDescent="0.3">
      <c r="A263">
        <v>261</v>
      </c>
      <c r="B263">
        <v>261</v>
      </c>
      <c r="C263">
        <v>2009</v>
      </c>
      <c r="D263" t="s">
        <v>21</v>
      </c>
      <c r="E263">
        <v>0.1</v>
      </c>
      <c r="F263">
        <v>3.509201676</v>
      </c>
      <c r="G263">
        <v>3.5092016759999999E-3</v>
      </c>
      <c r="H263">
        <v>35.09201676</v>
      </c>
      <c r="I263">
        <v>3.509201676</v>
      </c>
      <c r="J263">
        <v>0.1</v>
      </c>
      <c r="K263" t="s">
        <v>11</v>
      </c>
      <c r="L263" t="str">
        <f t="shared" si="4"/>
        <v>SACD</v>
      </c>
    </row>
    <row r="264" spans="1:13" x14ac:dyDescent="0.3">
      <c r="A264">
        <v>262</v>
      </c>
      <c r="B264">
        <v>262</v>
      </c>
      <c r="C264">
        <v>2009</v>
      </c>
      <c r="D264" t="s">
        <v>25</v>
      </c>
      <c r="F264">
        <v>227.36702526799999</v>
      </c>
      <c r="G264">
        <v>0.22736702526799901</v>
      </c>
      <c r="I264">
        <v>227.36702526799999</v>
      </c>
      <c r="K264" t="s">
        <v>23</v>
      </c>
      <c r="L264" t="str">
        <f t="shared" si="4"/>
        <v>SoundExchange Distributions</v>
      </c>
    </row>
    <row r="265" spans="1:13" x14ac:dyDescent="0.3">
      <c r="A265">
        <v>263</v>
      </c>
      <c r="B265">
        <v>263</v>
      </c>
      <c r="C265">
        <v>2009</v>
      </c>
      <c r="D265" t="s">
        <v>31</v>
      </c>
      <c r="F265">
        <v>294.188073852</v>
      </c>
      <c r="G265">
        <v>0.29418807385200002</v>
      </c>
      <c r="I265">
        <v>294.188073852</v>
      </c>
      <c r="K265" t="s">
        <v>23</v>
      </c>
      <c r="L265" t="str">
        <f t="shared" si="4"/>
        <v>Synchronization</v>
      </c>
    </row>
    <row r="266" spans="1:13" x14ac:dyDescent="0.3">
      <c r="A266">
        <v>264</v>
      </c>
      <c r="B266">
        <v>264</v>
      </c>
      <c r="C266">
        <v>2009</v>
      </c>
      <c r="D266" t="s">
        <v>15</v>
      </c>
      <c r="E266">
        <v>0.3</v>
      </c>
      <c r="F266">
        <v>3.655418413</v>
      </c>
      <c r="G266">
        <v>3.6554184130000002E-3</v>
      </c>
      <c r="H266">
        <v>12.184728043333299</v>
      </c>
      <c r="I266">
        <v>3.655418413</v>
      </c>
      <c r="J266">
        <v>0.3</v>
      </c>
      <c r="K266" t="s">
        <v>11</v>
      </c>
      <c r="L266" t="str">
        <f t="shared" si="4"/>
        <v>Vinyl Single</v>
      </c>
    </row>
    <row r="267" spans="1:13" x14ac:dyDescent="0.3">
      <c r="A267">
        <v>265</v>
      </c>
      <c r="B267">
        <v>265</v>
      </c>
      <c r="C267">
        <v>2010</v>
      </c>
      <c r="D267" t="s">
        <v>16</v>
      </c>
      <c r="E267">
        <v>253</v>
      </c>
      <c r="F267">
        <v>4875.8919571120005</v>
      </c>
      <c r="G267">
        <v>4.8758919571119996</v>
      </c>
      <c r="H267">
        <v>19.272300225739102</v>
      </c>
      <c r="I267">
        <v>4875.8919571120005</v>
      </c>
      <c r="J267">
        <v>253</v>
      </c>
      <c r="K267" t="s">
        <v>11</v>
      </c>
      <c r="L267" t="str">
        <f t="shared" si="4"/>
        <v>CD</v>
      </c>
    </row>
    <row r="268" spans="1:13" x14ac:dyDescent="0.3">
      <c r="A268">
        <v>266</v>
      </c>
      <c r="B268">
        <v>266</v>
      </c>
      <c r="C268">
        <v>2010</v>
      </c>
      <c r="D268" t="s">
        <v>18</v>
      </c>
      <c r="E268">
        <v>1</v>
      </c>
      <c r="F268">
        <v>4.1718553949999997</v>
      </c>
      <c r="G268">
        <v>4.1718553950000001E-3</v>
      </c>
      <c r="H268">
        <v>4.1718553949999997</v>
      </c>
      <c r="I268">
        <v>4.1718553949999997</v>
      </c>
      <c r="J268">
        <v>1</v>
      </c>
      <c r="K268" t="s">
        <v>11</v>
      </c>
      <c r="L268" t="str">
        <f t="shared" si="4"/>
        <v>CD Single</v>
      </c>
    </row>
    <row r="269" spans="1:13" x14ac:dyDescent="0.3">
      <c r="A269">
        <v>267</v>
      </c>
      <c r="B269">
        <v>267</v>
      </c>
      <c r="C269">
        <v>2010</v>
      </c>
      <c r="D269" t="s">
        <v>20</v>
      </c>
      <c r="E269">
        <v>0.04</v>
      </c>
      <c r="F269">
        <v>1.294713743</v>
      </c>
      <c r="G269">
        <v>1.2947137429999999E-3</v>
      </c>
      <c r="H269">
        <v>32.367843575000002</v>
      </c>
      <c r="I269">
        <v>1.294713743</v>
      </c>
      <c r="J269">
        <v>0.04</v>
      </c>
      <c r="K269" t="s">
        <v>11</v>
      </c>
      <c r="L269" t="str">
        <f t="shared" si="4"/>
        <v>DVD Audio</v>
      </c>
    </row>
    <row r="270" spans="1:13" x14ac:dyDescent="0.3">
      <c r="A270">
        <v>268</v>
      </c>
      <c r="B270">
        <v>268</v>
      </c>
      <c r="C270">
        <v>2010</v>
      </c>
      <c r="D270" t="s">
        <v>22</v>
      </c>
      <c r="E270">
        <v>85.8</v>
      </c>
      <c r="F270">
        <v>1255.0091884650001</v>
      </c>
      <c r="G270">
        <v>1.2550091884650001</v>
      </c>
      <c r="H270">
        <v>14.6271467187062</v>
      </c>
      <c r="I270">
        <v>1255.0091884650001</v>
      </c>
      <c r="J270">
        <v>85.8</v>
      </c>
      <c r="K270" t="s">
        <v>23</v>
      </c>
      <c r="L270" t="str">
        <f t="shared" si="4"/>
        <v>Download Album</v>
      </c>
    </row>
    <row r="271" spans="1:13" x14ac:dyDescent="0.3">
      <c r="A271">
        <v>269</v>
      </c>
      <c r="B271">
        <v>269</v>
      </c>
      <c r="C271">
        <v>2010</v>
      </c>
      <c r="D271" t="s">
        <v>26</v>
      </c>
      <c r="E271">
        <v>18.399999999999999</v>
      </c>
      <c r="F271">
        <v>52.651692226000002</v>
      </c>
      <c r="G271">
        <v>5.2651692226000003E-2</v>
      </c>
      <c r="H271">
        <v>2.8615050122826</v>
      </c>
      <c r="I271">
        <v>52.651692226000002</v>
      </c>
      <c r="J271">
        <v>18.399999999999999</v>
      </c>
      <c r="K271" t="s">
        <v>23</v>
      </c>
      <c r="L271" t="str">
        <f t="shared" si="4"/>
        <v>Download Music Video</v>
      </c>
    </row>
    <row r="272" spans="1:13" x14ac:dyDescent="0.3">
      <c r="A272">
        <v>270</v>
      </c>
      <c r="B272">
        <v>270</v>
      </c>
      <c r="C272">
        <v>2010</v>
      </c>
      <c r="D272" t="s">
        <v>24</v>
      </c>
      <c r="E272">
        <v>1177.4000000000001</v>
      </c>
      <c r="F272">
        <v>1922.506051656</v>
      </c>
      <c r="G272">
        <v>1.922506051656</v>
      </c>
      <c r="H272">
        <v>1.6328402001494799</v>
      </c>
      <c r="I272">
        <v>1922.506051656</v>
      </c>
      <c r="J272">
        <v>1177.4000000000001</v>
      </c>
      <c r="K272" t="s">
        <v>23</v>
      </c>
      <c r="L272" t="str">
        <f t="shared" si="4"/>
        <v>Download Single</v>
      </c>
    </row>
    <row r="273" spans="1:13" x14ac:dyDescent="0.3">
      <c r="A273">
        <v>271</v>
      </c>
      <c r="B273">
        <v>271</v>
      </c>
      <c r="C273">
        <v>2010</v>
      </c>
      <c r="D273" t="s">
        <v>27</v>
      </c>
      <c r="E273">
        <v>1.7</v>
      </c>
      <c r="F273">
        <v>9.2068532849999993</v>
      </c>
      <c r="G273">
        <v>9.2068532850000002E-3</v>
      </c>
      <c r="H273">
        <v>5.41579605</v>
      </c>
      <c r="I273">
        <v>9.2068532849999993</v>
      </c>
      <c r="J273">
        <v>1.7</v>
      </c>
      <c r="K273" t="s">
        <v>23</v>
      </c>
      <c r="L273" t="str">
        <f t="shared" si="4"/>
        <v>Kiosk</v>
      </c>
    </row>
    <row r="274" spans="1:13" x14ac:dyDescent="0.3">
      <c r="A274">
        <v>272</v>
      </c>
      <c r="B274">
        <v>272</v>
      </c>
      <c r="C274">
        <v>2010</v>
      </c>
      <c r="D274" t="s">
        <v>13</v>
      </c>
      <c r="E274">
        <v>4.2</v>
      </c>
      <c r="F274">
        <v>127.888946417</v>
      </c>
      <c r="G274">
        <v>0.12788894641699999</v>
      </c>
      <c r="H274">
        <v>30.449749146904701</v>
      </c>
      <c r="I274">
        <v>127.888946417</v>
      </c>
      <c r="J274">
        <v>4.2</v>
      </c>
      <c r="K274" t="s">
        <v>11</v>
      </c>
      <c r="L274" t="str">
        <f t="shared" si="4"/>
        <v>LP/EP</v>
      </c>
    </row>
    <row r="275" spans="1:13" x14ac:dyDescent="0.3">
      <c r="A275">
        <v>273</v>
      </c>
      <c r="B275">
        <v>273</v>
      </c>
      <c r="C275">
        <v>2010</v>
      </c>
      <c r="D275" t="s">
        <v>19</v>
      </c>
      <c r="E275">
        <v>9.1</v>
      </c>
      <c r="F275">
        <v>255.49017867000001</v>
      </c>
      <c r="G275">
        <v>0.25549017867000001</v>
      </c>
      <c r="H275">
        <v>28.075843809890099</v>
      </c>
      <c r="I275">
        <v>255.49017867000001</v>
      </c>
      <c r="J275">
        <v>9.1</v>
      </c>
      <c r="K275" t="s">
        <v>11</v>
      </c>
      <c r="L275" t="str">
        <f t="shared" si="4"/>
        <v>Music Video (Physical)</v>
      </c>
    </row>
    <row r="276" spans="1:13" x14ac:dyDescent="0.3">
      <c r="A276">
        <v>274</v>
      </c>
      <c r="B276">
        <v>274</v>
      </c>
      <c r="C276">
        <v>2010</v>
      </c>
      <c r="D276" t="s">
        <v>28</v>
      </c>
      <c r="F276">
        <v>305.55244340899998</v>
      </c>
      <c r="G276">
        <v>0.30555244340900001</v>
      </c>
      <c r="I276">
        <v>305.55244340899998</v>
      </c>
      <c r="K276" t="s">
        <v>29</v>
      </c>
      <c r="L276" t="s">
        <v>29</v>
      </c>
      <c r="M276" t="s">
        <v>28</v>
      </c>
    </row>
    <row r="277" spans="1:13" x14ac:dyDescent="0.3">
      <c r="A277">
        <v>275</v>
      </c>
      <c r="B277">
        <v>275</v>
      </c>
      <c r="C277">
        <v>2010</v>
      </c>
      <c r="D277" t="s">
        <v>30</v>
      </c>
      <c r="E277">
        <v>188.5</v>
      </c>
      <c r="F277">
        <v>644.47972997800002</v>
      </c>
      <c r="G277">
        <v>0.64447972997799996</v>
      </c>
      <c r="H277">
        <v>3.4189906099628602</v>
      </c>
      <c r="I277">
        <v>644.47972997800002</v>
      </c>
      <c r="J277">
        <v>188.5</v>
      </c>
      <c r="K277" t="s">
        <v>23</v>
      </c>
      <c r="L277" t="str">
        <f t="shared" si="4"/>
        <v>Ringtones &amp; Ringbacks</v>
      </c>
    </row>
    <row r="278" spans="1:13" x14ac:dyDescent="0.3">
      <c r="A278">
        <v>276</v>
      </c>
      <c r="B278">
        <v>276</v>
      </c>
      <c r="C278">
        <v>2010</v>
      </c>
      <c r="D278" t="s">
        <v>21</v>
      </c>
      <c r="E278">
        <v>0.1</v>
      </c>
      <c r="F278">
        <v>2.4455704040000001</v>
      </c>
      <c r="G278">
        <v>2.4455704039999999E-3</v>
      </c>
      <c r="H278">
        <v>24.455704040000001</v>
      </c>
      <c r="I278">
        <v>2.4455704040000001</v>
      </c>
      <c r="J278">
        <v>0.1</v>
      </c>
      <c r="K278" t="s">
        <v>11</v>
      </c>
      <c r="L278" t="str">
        <f t="shared" si="4"/>
        <v>SACD</v>
      </c>
    </row>
    <row r="279" spans="1:13" x14ac:dyDescent="0.3">
      <c r="A279">
        <v>277</v>
      </c>
      <c r="B279">
        <v>277</v>
      </c>
      <c r="C279">
        <v>2010</v>
      </c>
      <c r="D279" t="s">
        <v>25</v>
      </c>
      <c r="F279">
        <v>358.49184980000001</v>
      </c>
      <c r="G279">
        <v>0.35849184979999998</v>
      </c>
      <c r="I279">
        <v>358.49184980000001</v>
      </c>
      <c r="K279" t="s">
        <v>23</v>
      </c>
      <c r="L279" t="str">
        <f t="shared" si="4"/>
        <v>SoundExchange Distributions</v>
      </c>
    </row>
    <row r="280" spans="1:13" x14ac:dyDescent="0.3">
      <c r="A280">
        <v>278</v>
      </c>
      <c r="B280">
        <v>278</v>
      </c>
      <c r="C280">
        <v>2010</v>
      </c>
      <c r="D280" t="s">
        <v>31</v>
      </c>
      <c r="F280">
        <v>271.45831483699999</v>
      </c>
      <c r="G280">
        <v>0.271458314837</v>
      </c>
      <c r="I280">
        <v>271.45831483699999</v>
      </c>
      <c r="K280" t="s">
        <v>23</v>
      </c>
      <c r="L280" t="str">
        <f t="shared" si="4"/>
        <v>Synchronization</v>
      </c>
    </row>
    <row r="281" spans="1:13" x14ac:dyDescent="0.3">
      <c r="A281">
        <v>279</v>
      </c>
      <c r="B281">
        <v>279</v>
      </c>
      <c r="C281">
        <v>2010</v>
      </c>
      <c r="D281" t="s">
        <v>15</v>
      </c>
      <c r="E281">
        <v>0.3</v>
      </c>
      <c r="F281">
        <v>3.3087128990000001</v>
      </c>
      <c r="G281">
        <v>3.308712899E-3</v>
      </c>
      <c r="H281">
        <v>11.0290429966666</v>
      </c>
      <c r="I281">
        <v>3.3087128990000001</v>
      </c>
      <c r="J281">
        <v>0.3</v>
      </c>
      <c r="K281" t="s">
        <v>11</v>
      </c>
      <c r="L281" t="str">
        <f t="shared" si="4"/>
        <v>Vinyl Single</v>
      </c>
    </row>
    <row r="282" spans="1:13" x14ac:dyDescent="0.3">
      <c r="A282">
        <v>280</v>
      </c>
      <c r="B282">
        <v>280</v>
      </c>
      <c r="C282">
        <v>2011</v>
      </c>
      <c r="D282" t="s">
        <v>16</v>
      </c>
      <c r="E282">
        <v>240.8</v>
      </c>
      <c r="F282">
        <v>4324.0855623079997</v>
      </c>
      <c r="G282">
        <v>4.3240855623079897</v>
      </c>
      <c r="H282">
        <v>17.957165956428501</v>
      </c>
      <c r="I282">
        <v>4324.0855623079997</v>
      </c>
      <c r="J282">
        <v>240.8</v>
      </c>
      <c r="K282" t="s">
        <v>11</v>
      </c>
      <c r="L282" t="str">
        <f t="shared" si="4"/>
        <v>CD</v>
      </c>
    </row>
    <row r="283" spans="1:13" x14ac:dyDescent="0.3">
      <c r="A283">
        <v>281</v>
      </c>
      <c r="B283">
        <v>281</v>
      </c>
      <c r="C283">
        <v>2011</v>
      </c>
      <c r="D283" t="s">
        <v>18</v>
      </c>
      <c r="E283">
        <v>1.3</v>
      </c>
      <c r="F283">
        <v>4.8809299409999998</v>
      </c>
      <c r="G283">
        <v>4.8809299410000001E-3</v>
      </c>
      <c r="H283">
        <v>3.75456149307692</v>
      </c>
      <c r="I283">
        <v>4.8809299409999998</v>
      </c>
      <c r="J283">
        <v>1.3</v>
      </c>
      <c r="K283" t="s">
        <v>11</v>
      </c>
      <c r="L283" t="str">
        <f t="shared" si="4"/>
        <v>CD Single</v>
      </c>
    </row>
    <row r="284" spans="1:13" x14ac:dyDescent="0.3">
      <c r="A284">
        <v>282</v>
      </c>
      <c r="B284">
        <v>282</v>
      </c>
      <c r="C284">
        <v>2011</v>
      </c>
      <c r="D284" t="s">
        <v>20</v>
      </c>
      <c r="E284">
        <v>0.01</v>
      </c>
      <c r="F284">
        <v>0.41836542399999999</v>
      </c>
      <c r="G284">
        <v>4.1836542400000001E-4</v>
      </c>
      <c r="H284">
        <v>41.836542399999999</v>
      </c>
      <c r="I284">
        <v>0.41836542399999999</v>
      </c>
      <c r="J284">
        <v>0.01</v>
      </c>
      <c r="K284" t="s">
        <v>11</v>
      </c>
      <c r="L284" t="str">
        <f t="shared" si="4"/>
        <v>DVD Audio</v>
      </c>
    </row>
    <row r="285" spans="1:13" x14ac:dyDescent="0.3">
      <c r="A285">
        <v>283</v>
      </c>
      <c r="B285">
        <v>283</v>
      </c>
      <c r="C285">
        <v>2011</v>
      </c>
      <c r="D285" t="s">
        <v>22</v>
      </c>
      <c r="E285">
        <v>103.9</v>
      </c>
      <c r="F285">
        <v>1493.2856516659999</v>
      </c>
      <c r="G285">
        <v>1.493285651666</v>
      </c>
      <c r="H285">
        <v>14.3723354347064</v>
      </c>
      <c r="I285">
        <v>1493.2856516659999</v>
      </c>
      <c r="J285">
        <v>103.9</v>
      </c>
      <c r="K285" t="s">
        <v>23</v>
      </c>
      <c r="L285" t="str">
        <f t="shared" si="4"/>
        <v>Download Album</v>
      </c>
    </row>
    <row r="286" spans="1:13" x14ac:dyDescent="0.3">
      <c r="A286">
        <v>284</v>
      </c>
      <c r="B286">
        <v>284</v>
      </c>
      <c r="C286">
        <v>2011</v>
      </c>
      <c r="D286" t="s">
        <v>26</v>
      </c>
      <c r="E286">
        <v>16.3</v>
      </c>
      <c r="F286">
        <v>45.183465740000003</v>
      </c>
      <c r="G286">
        <v>4.5183465739999998E-2</v>
      </c>
      <c r="H286">
        <v>2.7719917631901798</v>
      </c>
      <c r="I286">
        <v>45.183465740000003</v>
      </c>
      <c r="J286">
        <v>16.3</v>
      </c>
      <c r="K286" t="s">
        <v>23</v>
      </c>
      <c r="L286" t="str">
        <f t="shared" si="4"/>
        <v>Download Music Video</v>
      </c>
    </row>
    <row r="287" spans="1:13" x14ac:dyDescent="0.3">
      <c r="A287">
        <v>285</v>
      </c>
      <c r="B287">
        <v>285</v>
      </c>
      <c r="C287">
        <v>2011</v>
      </c>
      <c r="D287" t="s">
        <v>24</v>
      </c>
      <c r="E287">
        <v>1332.3</v>
      </c>
      <c r="F287">
        <v>2123.065069197</v>
      </c>
      <c r="G287">
        <v>2.1230650691970001</v>
      </c>
      <c r="H287">
        <v>1.5935337905854501</v>
      </c>
      <c r="I287">
        <v>2123.065069197</v>
      </c>
      <c r="J287">
        <v>1332.3</v>
      </c>
      <c r="K287" t="s">
        <v>23</v>
      </c>
      <c r="L287" t="str">
        <f t="shared" si="4"/>
        <v>Download Single</v>
      </c>
    </row>
    <row r="288" spans="1:13" x14ac:dyDescent="0.3">
      <c r="A288">
        <v>286</v>
      </c>
      <c r="B288">
        <v>286</v>
      </c>
      <c r="C288">
        <v>2011</v>
      </c>
      <c r="D288" t="s">
        <v>27</v>
      </c>
      <c r="E288">
        <v>1.3</v>
      </c>
      <c r="F288">
        <v>3.7652888120000001</v>
      </c>
      <c r="G288">
        <v>3.7652888120000001E-3</v>
      </c>
      <c r="H288">
        <v>2.8963760092307602</v>
      </c>
      <c r="I288">
        <v>3.7652888120000001</v>
      </c>
      <c r="J288">
        <v>1.3</v>
      </c>
      <c r="K288" t="s">
        <v>23</v>
      </c>
      <c r="L288" t="str">
        <f t="shared" si="4"/>
        <v>Kiosk</v>
      </c>
    </row>
    <row r="289" spans="1:13" x14ac:dyDescent="0.3">
      <c r="A289">
        <v>287</v>
      </c>
      <c r="B289">
        <v>287</v>
      </c>
      <c r="C289">
        <v>2011</v>
      </c>
      <c r="D289" t="s">
        <v>13</v>
      </c>
      <c r="E289">
        <v>5.5</v>
      </c>
      <c r="F289">
        <v>166.50943855899999</v>
      </c>
      <c r="G289">
        <v>0.16650943855899999</v>
      </c>
      <c r="H289">
        <v>30.274443374363599</v>
      </c>
      <c r="I289">
        <v>166.50943855899999</v>
      </c>
      <c r="J289">
        <v>5.5</v>
      </c>
      <c r="K289" t="s">
        <v>11</v>
      </c>
      <c r="L289" t="str">
        <f t="shared" si="4"/>
        <v>LP/EP</v>
      </c>
    </row>
    <row r="290" spans="1:13" x14ac:dyDescent="0.3">
      <c r="A290">
        <v>288</v>
      </c>
      <c r="B290">
        <v>288</v>
      </c>
      <c r="C290">
        <v>2011</v>
      </c>
      <c r="D290" t="s">
        <v>19</v>
      </c>
      <c r="E290">
        <v>7.7</v>
      </c>
      <c r="F290">
        <v>210.57726316899999</v>
      </c>
      <c r="G290">
        <v>0.210577263169</v>
      </c>
      <c r="H290">
        <v>27.347696515454501</v>
      </c>
      <c r="I290">
        <v>210.57726316899999</v>
      </c>
      <c r="J290">
        <v>7.7</v>
      </c>
      <c r="K290" t="s">
        <v>11</v>
      </c>
      <c r="L290" t="str">
        <f t="shared" si="4"/>
        <v>Music Video (Physical)</v>
      </c>
    </row>
    <row r="291" spans="1:13" x14ac:dyDescent="0.3">
      <c r="A291">
        <v>289</v>
      </c>
      <c r="B291">
        <v>289</v>
      </c>
      <c r="C291">
        <v>2011</v>
      </c>
      <c r="D291" t="s">
        <v>32</v>
      </c>
      <c r="F291">
        <v>158.699950653</v>
      </c>
      <c r="G291">
        <v>0.15869995065299999</v>
      </c>
      <c r="I291">
        <v>158.699950653</v>
      </c>
      <c r="K291" t="s">
        <v>29</v>
      </c>
      <c r="L291" t="s">
        <v>29</v>
      </c>
      <c r="M291" t="s">
        <v>45</v>
      </c>
    </row>
    <row r="292" spans="1:13" x14ac:dyDescent="0.3">
      <c r="A292">
        <v>290</v>
      </c>
      <c r="B292">
        <v>290</v>
      </c>
      <c r="C292">
        <v>2011</v>
      </c>
      <c r="D292" t="s">
        <v>28</v>
      </c>
      <c r="F292">
        <v>345.569839823</v>
      </c>
      <c r="G292">
        <v>0.34556983982299999</v>
      </c>
      <c r="I292">
        <v>345.569839823</v>
      </c>
      <c r="K292" t="s">
        <v>29</v>
      </c>
      <c r="L292" t="s">
        <v>29</v>
      </c>
      <c r="M292" t="s">
        <v>28</v>
      </c>
    </row>
    <row r="293" spans="1:13" x14ac:dyDescent="0.3">
      <c r="A293">
        <v>291</v>
      </c>
      <c r="B293">
        <v>291</v>
      </c>
      <c r="C293">
        <v>2011</v>
      </c>
      <c r="D293" t="s">
        <v>30</v>
      </c>
      <c r="E293">
        <v>115.4</v>
      </c>
      <c r="F293">
        <v>385.17509991600002</v>
      </c>
      <c r="G293">
        <v>0.38517509991600002</v>
      </c>
      <c r="H293">
        <v>3.3377391673830101</v>
      </c>
      <c r="I293">
        <v>385.17509991600002</v>
      </c>
      <c r="J293">
        <v>115.4</v>
      </c>
      <c r="K293" t="s">
        <v>23</v>
      </c>
      <c r="L293" t="str">
        <f t="shared" si="4"/>
        <v>Ringtones &amp; Ringbacks</v>
      </c>
    </row>
    <row r="294" spans="1:13" x14ac:dyDescent="0.3">
      <c r="A294">
        <v>292</v>
      </c>
      <c r="B294">
        <v>292</v>
      </c>
      <c r="C294">
        <v>2011</v>
      </c>
      <c r="D294" t="s">
        <v>21</v>
      </c>
      <c r="E294">
        <v>0.1</v>
      </c>
      <c r="F294">
        <v>2.0918271179999999</v>
      </c>
      <c r="G294">
        <v>2.0918271180000001E-3</v>
      </c>
      <c r="H294">
        <v>20.918271179999898</v>
      </c>
      <c r="I294">
        <v>2.0918271179999999</v>
      </c>
      <c r="J294">
        <v>0.1</v>
      </c>
      <c r="K294" t="s">
        <v>11</v>
      </c>
      <c r="L294" t="str">
        <f t="shared" si="4"/>
        <v>SACD</v>
      </c>
    </row>
    <row r="295" spans="1:13" x14ac:dyDescent="0.3">
      <c r="A295">
        <v>293</v>
      </c>
      <c r="B295">
        <v>293</v>
      </c>
      <c r="C295">
        <v>2011</v>
      </c>
      <c r="D295" t="s">
        <v>25</v>
      </c>
      <c r="F295">
        <v>407.20901222100002</v>
      </c>
      <c r="G295">
        <v>0.40720901222099998</v>
      </c>
      <c r="I295">
        <v>407.20901222100002</v>
      </c>
      <c r="K295" t="s">
        <v>23</v>
      </c>
      <c r="L295" t="str">
        <f t="shared" si="4"/>
        <v>SoundExchange Distributions</v>
      </c>
    </row>
    <row r="296" spans="1:13" x14ac:dyDescent="0.3">
      <c r="A296">
        <v>294</v>
      </c>
      <c r="B296">
        <v>294</v>
      </c>
      <c r="C296">
        <v>2011</v>
      </c>
      <c r="D296" t="s">
        <v>31</v>
      </c>
      <c r="F296">
        <v>274.02935240199997</v>
      </c>
      <c r="G296">
        <v>0.27402935240199999</v>
      </c>
      <c r="I296">
        <v>274.02935240199997</v>
      </c>
      <c r="K296" t="s">
        <v>23</v>
      </c>
      <c r="L296" t="str">
        <f t="shared" si="4"/>
        <v>Synchronization</v>
      </c>
    </row>
    <row r="297" spans="1:13" x14ac:dyDescent="0.3">
      <c r="A297">
        <v>295</v>
      </c>
      <c r="B297">
        <v>295</v>
      </c>
      <c r="C297">
        <v>2011</v>
      </c>
      <c r="D297" t="s">
        <v>15</v>
      </c>
      <c r="E297">
        <v>0.4</v>
      </c>
      <c r="F297">
        <v>6.414936494</v>
      </c>
      <c r="G297">
        <v>6.4149364940000002E-3</v>
      </c>
      <c r="H297">
        <v>16.037341235</v>
      </c>
      <c r="I297">
        <v>6.414936494</v>
      </c>
      <c r="J297">
        <v>0.4</v>
      </c>
      <c r="K297" t="s">
        <v>11</v>
      </c>
      <c r="L297" t="str">
        <f t="shared" si="4"/>
        <v>Vinyl Single</v>
      </c>
    </row>
    <row r="298" spans="1:13" x14ac:dyDescent="0.3">
      <c r="A298">
        <v>296</v>
      </c>
      <c r="B298">
        <v>296</v>
      </c>
      <c r="C298">
        <v>2012</v>
      </c>
      <c r="D298" t="s">
        <v>16</v>
      </c>
      <c r="E298">
        <v>198.164387234</v>
      </c>
      <c r="F298">
        <v>3396.0381775730002</v>
      </c>
      <c r="G298">
        <v>3.3960381775730002</v>
      </c>
      <c r="H298">
        <v>17.1374797710893</v>
      </c>
      <c r="I298">
        <v>3396.0381775730002</v>
      </c>
      <c r="J298">
        <v>198.164387234</v>
      </c>
      <c r="K298" t="s">
        <v>11</v>
      </c>
      <c r="L298" t="str">
        <f t="shared" si="4"/>
        <v>CD</v>
      </c>
    </row>
    <row r="299" spans="1:13" x14ac:dyDescent="0.3">
      <c r="A299">
        <v>297</v>
      </c>
      <c r="B299">
        <v>297</v>
      </c>
      <c r="C299">
        <v>2012</v>
      </c>
      <c r="D299" t="s">
        <v>18</v>
      </c>
      <c r="E299">
        <v>1.0728704069999999</v>
      </c>
      <c r="F299">
        <v>4.4063702930000002</v>
      </c>
      <c r="G299">
        <v>4.4063702929999999E-3</v>
      </c>
      <c r="H299">
        <v>4.1070853145453503</v>
      </c>
      <c r="I299">
        <v>4.4063702930000002</v>
      </c>
      <c r="J299">
        <v>1.0728704069999999</v>
      </c>
      <c r="K299" t="s">
        <v>11</v>
      </c>
      <c r="L299" t="str">
        <f t="shared" si="4"/>
        <v>CD Single</v>
      </c>
    </row>
    <row r="300" spans="1:13" x14ac:dyDescent="0.3">
      <c r="A300">
        <v>298</v>
      </c>
      <c r="B300">
        <v>298</v>
      </c>
      <c r="C300">
        <v>2012</v>
      </c>
      <c r="D300" t="s">
        <v>20</v>
      </c>
      <c r="E300">
        <v>8.5331450000000007E-3</v>
      </c>
      <c r="F300">
        <v>0.25017486999999999</v>
      </c>
      <c r="G300">
        <v>2.5017486999999997E-4</v>
      </c>
      <c r="H300">
        <v>29.318014635869801</v>
      </c>
      <c r="I300">
        <v>0.25017486999999999</v>
      </c>
      <c r="J300">
        <v>8.5331450000000007E-3</v>
      </c>
      <c r="K300" t="s">
        <v>11</v>
      </c>
      <c r="L300" t="str">
        <f t="shared" si="4"/>
        <v>DVD Audio</v>
      </c>
    </row>
    <row r="301" spans="1:13" x14ac:dyDescent="0.3">
      <c r="A301">
        <v>299</v>
      </c>
      <c r="B301">
        <v>299</v>
      </c>
      <c r="C301">
        <v>2012</v>
      </c>
      <c r="D301" t="s">
        <v>22</v>
      </c>
      <c r="E301">
        <v>116.733631841</v>
      </c>
      <c r="F301">
        <v>1646.120910996</v>
      </c>
      <c r="G301">
        <v>1.646120910996</v>
      </c>
      <c r="H301">
        <v>14.1015137200403</v>
      </c>
      <c r="I301">
        <v>1646.120910996</v>
      </c>
      <c r="J301">
        <v>116.733631841</v>
      </c>
      <c r="K301" t="s">
        <v>23</v>
      </c>
      <c r="L301" t="str">
        <f t="shared" si="4"/>
        <v>Download Album</v>
      </c>
    </row>
    <row r="302" spans="1:13" x14ac:dyDescent="0.3">
      <c r="A302">
        <v>300</v>
      </c>
      <c r="B302">
        <v>300</v>
      </c>
      <c r="C302">
        <v>2012</v>
      </c>
      <c r="D302" t="s">
        <v>26</v>
      </c>
      <c r="E302">
        <v>10.473489000000001</v>
      </c>
      <c r="F302">
        <v>28.476275733000001</v>
      </c>
      <c r="G302">
        <v>2.8476275733E-2</v>
      </c>
      <c r="H302">
        <v>2.71889107182907</v>
      </c>
      <c r="I302">
        <v>28.476275733000001</v>
      </c>
      <c r="J302">
        <v>10.473489000000001</v>
      </c>
      <c r="K302" t="s">
        <v>23</v>
      </c>
      <c r="L302" t="str">
        <f t="shared" si="4"/>
        <v>Download Music Video</v>
      </c>
    </row>
    <row r="303" spans="1:13" x14ac:dyDescent="0.3">
      <c r="A303">
        <v>301</v>
      </c>
      <c r="B303">
        <v>301</v>
      </c>
      <c r="C303">
        <v>2012</v>
      </c>
      <c r="D303" t="s">
        <v>24</v>
      </c>
      <c r="E303">
        <v>1402.739373351</v>
      </c>
      <c r="F303">
        <v>2246.9390365419999</v>
      </c>
      <c r="G303">
        <v>2.2469390365419999</v>
      </c>
      <c r="H303">
        <v>1.60182217682697</v>
      </c>
      <c r="I303">
        <v>2246.9390365419999</v>
      </c>
      <c r="J303">
        <v>1402.739373351</v>
      </c>
      <c r="K303" t="s">
        <v>23</v>
      </c>
      <c r="L303" t="str">
        <f t="shared" si="4"/>
        <v>Download Single</v>
      </c>
    </row>
    <row r="304" spans="1:13" x14ac:dyDescent="0.3">
      <c r="A304">
        <v>302</v>
      </c>
      <c r="B304">
        <v>302</v>
      </c>
      <c r="C304">
        <v>2012</v>
      </c>
      <c r="D304" t="s">
        <v>27</v>
      </c>
      <c r="E304">
        <v>1.9550700000000001</v>
      </c>
      <c r="F304">
        <v>4.9924649419999998</v>
      </c>
      <c r="G304">
        <v>4.992464942E-3</v>
      </c>
      <c r="H304">
        <v>2.5535990742019399</v>
      </c>
      <c r="I304">
        <v>4.9924649419999998</v>
      </c>
      <c r="J304">
        <v>1.9550700000000001</v>
      </c>
      <c r="K304" t="s">
        <v>23</v>
      </c>
      <c r="L304" t="str">
        <f t="shared" si="4"/>
        <v>Kiosk</v>
      </c>
    </row>
    <row r="305" spans="1:13" x14ac:dyDescent="0.3">
      <c r="A305">
        <v>303</v>
      </c>
      <c r="B305">
        <v>303</v>
      </c>
      <c r="C305">
        <v>2012</v>
      </c>
      <c r="D305" t="s">
        <v>13</v>
      </c>
      <c r="E305">
        <v>6.9153651890000001</v>
      </c>
      <c r="F305">
        <v>219.59221683600001</v>
      </c>
      <c r="G305">
        <v>0.219592216836</v>
      </c>
      <c r="H305">
        <v>31.754247365749599</v>
      </c>
      <c r="I305">
        <v>219.59221683600001</v>
      </c>
      <c r="J305">
        <v>6.9153651890000001</v>
      </c>
      <c r="K305" t="s">
        <v>11</v>
      </c>
      <c r="L305" t="str">
        <f t="shared" si="4"/>
        <v>LP/EP</v>
      </c>
    </row>
    <row r="306" spans="1:13" x14ac:dyDescent="0.3">
      <c r="A306">
        <v>304</v>
      </c>
      <c r="B306">
        <v>304</v>
      </c>
      <c r="C306">
        <v>2012</v>
      </c>
      <c r="D306" t="s">
        <v>19</v>
      </c>
      <c r="E306">
        <v>6.0327254669999997</v>
      </c>
      <c r="F306">
        <v>159.32655338800001</v>
      </c>
      <c r="G306">
        <v>0.159326553388</v>
      </c>
      <c r="H306">
        <v>26.410376911653302</v>
      </c>
      <c r="I306">
        <v>159.32655338800001</v>
      </c>
      <c r="J306">
        <v>6.0327254669999997</v>
      </c>
      <c r="K306" t="s">
        <v>11</v>
      </c>
      <c r="L306" t="str">
        <f t="shared" si="4"/>
        <v>Music Video (Physical)</v>
      </c>
    </row>
    <row r="307" spans="1:13" x14ac:dyDescent="0.3">
      <c r="A307">
        <v>305</v>
      </c>
      <c r="B307">
        <v>305</v>
      </c>
      <c r="C307">
        <v>2012</v>
      </c>
      <c r="D307" t="s">
        <v>32</v>
      </c>
      <c r="F307">
        <v>233.545115888</v>
      </c>
      <c r="G307">
        <v>0.233545115888</v>
      </c>
      <c r="I307">
        <v>233.545115888</v>
      </c>
      <c r="K307" t="s">
        <v>29</v>
      </c>
      <c r="L307" t="s">
        <v>29</v>
      </c>
      <c r="M307" t="s">
        <v>45</v>
      </c>
    </row>
    <row r="308" spans="1:13" x14ac:dyDescent="0.3">
      <c r="A308">
        <v>306</v>
      </c>
      <c r="B308">
        <v>306</v>
      </c>
      <c r="C308">
        <v>2012</v>
      </c>
      <c r="D308" t="s">
        <v>28</v>
      </c>
      <c r="F308">
        <v>546.35030225100002</v>
      </c>
      <c r="G308">
        <v>0.54635030225100001</v>
      </c>
      <c r="I308">
        <v>546.35030225100002</v>
      </c>
      <c r="K308" t="s">
        <v>29</v>
      </c>
      <c r="L308" t="s">
        <v>29</v>
      </c>
      <c r="M308" t="s">
        <v>28</v>
      </c>
    </row>
    <row r="309" spans="1:13" x14ac:dyDescent="0.3">
      <c r="A309">
        <v>307</v>
      </c>
      <c r="B309">
        <v>307</v>
      </c>
      <c r="C309">
        <v>2012</v>
      </c>
      <c r="D309" t="s">
        <v>30</v>
      </c>
      <c r="E309">
        <v>58.757403556</v>
      </c>
      <c r="F309">
        <v>199.46678842700001</v>
      </c>
      <c r="G309">
        <v>0.199466788427</v>
      </c>
      <c r="H309">
        <v>3.39475157776319</v>
      </c>
      <c r="I309">
        <v>199.46678842700001</v>
      </c>
      <c r="J309">
        <v>58.757403556</v>
      </c>
      <c r="K309" t="s">
        <v>23</v>
      </c>
      <c r="L309" t="str">
        <f t="shared" si="4"/>
        <v>Ringtones &amp; Ringbacks</v>
      </c>
    </row>
    <row r="310" spans="1:13" x14ac:dyDescent="0.3">
      <c r="A310">
        <v>308</v>
      </c>
      <c r="B310">
        <v>308</v>
      </c>
      <c r="C310">
        <v>2012</v>
      </c>
      <c r="D310" t="s">
        <v>21</v>
      </c>
      <c r="E310">
        <v>6.5446000000000004E-2</v>
      </c>
      <c r="F310">
        <v>1.8342268639999999</v>
      </c>
      <c r="G310">
        <v>1.834226864E-3</v>
      </c>
      <c r="H310">
        <v>28.026569446566601</v>
      </c>
      <c r="I310">
        <v>1.8342268639999999</v>
      </c>
      <c r="J310">
        <v>6.5446000000000004E-2</v>
      </c>
      <c r="K310" t="s">
        <v>11</v>
      </c>
      <c r="L310" t="str">
        <f t="shared" si="4"/>
        <v>SACD</v>
      </c>
    </row>
    <row r="311" spans="1:13" x14ac:dyDescent="0.3">
      <c r="A311">
        <v>309</v>
      </c>
      <c r="B311">
        <v>309</v>
      </c>
      <c r="C311">
        <v>2012</v>
      </c>
      <c r="D311" t="s">
        <v>25</v>
      </c>
      <c r="F311">
        <v>631.21997090499997</v>
      </c>
      <c r="G311">
        <v>0.63121997090499904</v>
      </c>
      <c r="I311">
        <v>631.21997090499997</v>
      </c>
      <c r="K311" t="s">
        <v>23</v>
      </c>
      <c r="L311" t="str">
        <f t="shared" si="4"/>
        <v>SoundExchange Distributions</v>
      </c>
    </row>
    <row r="312" spans="1:13" x14ac:dyDescent="0.3">
      <c r="A312">
        <v>310</v>
      </c>
      <c r="B312">
        <v>310</v>
      </c>
      <c r="C312">
        <v>2012</v>
      </c>
      <c r="D312" t="s">
        <v>31</v>
      </c>
      <c r="F312">
        <v>260.40932489900001</v>
      </c>
      <c r="G312">
        <v>0.26040932489899998</v>
      </c>
      <c r="I312">
        <v>260.40932489900001</v>
      </c>
      <c r="K312" t="s">
        <v>23</v>
      </c>
      <c r="L312" t="str">
        <f t="shared" si="4"/>
        <v>Synchronization</v>
      </c>
    </row>
    <row r="313" spans="1:13" x14ac:dyDescent="0.3">
      <c r="A313">
        <v>311</v>
      </c>
      <c r="B313">
        <v>311</v>
      </c>
      <c r="C313">
        <v>2012</v>
      </c>
      <c r="D313" t="s">
        <v>15</v>
      </c>
      <c r="E313">
        <v>0.388573687</v>
      </c>
      <c r="F313">
        <v>6.4803281449999997</v>
      </c>
      <c r="G313">
        <v>6.4803281449999899E-3</v>
      </c>
      <c r="H313">
        <v>16.677218148844901</v>
      </c>
      <c r="I313">
        <v>6.4803281449999997</v>
      </c>
      <c r="J313">
        <v>0.388573687</v>
      </c>
      <c r="K313" t="s">
        <v>11</v>
      </c>
      <c r="L313" t="str">
        <f t="shared" si="4"/>
        <v>Vinyl Single</v>
      </c>
    </row>
    <row r="314" spans="1:13" x14ac:dyDescent="0.3">
      <c r="A314">
        <v>312</v>
      </c>
      <c r="B314">
        <v>312</v>
      </c>
      <c r="C314">
        <v>2013</v>
      </c>
      <c r="D314" t="s">
        <v>16</v>
      </c>
      <c r="E314">
        <v>173.79330290600001</v>
      </c>
      <c r="F314">
        <v>2882.8596612000001</v>
      </c>
      <c r="G314">
        <v>2.8828596611999999</v>
      </c>
      <c r="H314">
        <v>16.58786393374</v>
      </c>
      <c r="I314">
        <v>2882.8596612000001</v>
      </c>
      <c r="J314">
        <v>173.79330290600001</v>
      </c>
      <c r="K314" t="s">
        <v>11</v>
      </c>
      <c r="L314" t="str">
        <f t="shared" si="4"/>
        <v>CD</v>
      </c>
    </row>
    <row r="315" spans="1:13" x14ac:dyDescent="0.3">
      <c r="A315">
        <v>313</v>
      </c>
      <c r="B315">
        <v>313</v>
      </c>
      <c r="C315">
        <v>2013</v>
      </c>
      <c r="D315" t="s">
        <v>18</v>
      </c>
      <c r="E315">
        <v>0.62889539800000005</v>
      </c>
      <c r="F315">
        <v>3.293315352</v>
      </c>
      <c r="G315">
        <v>3.2933153520000001E-3</v>
      </c>
      <c r="H315">
        <v>5.2366663239599598</v>
      </c>
      <c r="I315">
        <v>3.293315352</v>
      </c>
      <c r="J315">
        <v>0.62889539800000005</v>
      </c>
      <c r="K315" t="s">
        <v>11</v>
      </c>
      <c r="L315" t="str">
        <f t="shared" si="4"/>
        <v>CD Single</v>
      </c>
    </row>
    <row r="316" spans="1:13" x14ac:dyDescent="0.3">
      <c r="A316">
        <v>314</v>
      </c>
      <c r="B316">
        <v>314</v>
      </c>
      <c r="C316">
        <v>2013</v>
      </c>
      <c r="D316" t="s">
        <v>20</v>
      </c>
      <c r="E316">
        <v>-5.4735168000000001E-2</v>
      </c>
      <c r="J316">
        <v>-5.4735168000000001E-2</v>
      </c>
      <c r="K316" t="s">
        <v>11</v>
      </c>
      <c r="L316" t="str">
        <f t="shared" si="4"/>
        <v>DVD Audio</v>
      </c>
    </row>
    <row r="317" spans="1:13" x14ac:dyDescent="0.3">
      <c r="A317">
        <v>315</v>
      </c>
      <c r="B317">
        <v>315</v>
      </c>
      <c r="C317">
        <v>2013</v>
      </c>
      <c r="D317" t="s">
        <v>22</v>
      </c>
      <c r="E317">
        <v>117.979213042</v>
      </c>
      <c r="F317">
        <v>1659.1417096380001</v>
      </c>
      <c r="G317">
        <v>1.6591417096379999</v>
      </c>
      <c r="H317">
        <v>14.0630003104644</v>
      </c>
      <c r="I317">
        <v>1659.1417096380001</v>
      </c>
      <c r="J317">
        <v>117.979213042</v>
      </c>
      <c r="K317" t="s">
        <v>23</v>
      </c>
      <c r="L317" t="str">
        <f t="shared" si="4"/>
        <v>Download Album</v>
      </c>
    </row>
    <row r="318" spans="1:13" x14ac:dyDescent="0.3">
      <c r="A318">
        <v>316</v>
      </c>
      <c r="B318">
        <v>316</v>
      </c>
      <c r="C318">
        <v>2013</v>
      </c>
      <c r="D318" t="s">
        <v>26</v>
      </c>
      <c r="E318">
        <v>8.4124639999999999</v>
      </c>
      <c r="F318">
        <v>22.542382294999999</v>
      </c>
      <c r="G318">
        <v>2.2542382295E-2</v>
      </c>
      <c r="H318">
        <v>2.6796408632476698</v>
      </c>
      <c r="I318">
        <v>22.542382294999999</v>
      </c>
      <c r="J318">
        <v>8.4124639999999999</v>
      </c>
      <c r="K318" t="s">
        <v>23</v>
      </c>
      <c r="L318" t="str">
        <f t="shared" si="4"/>
        <v>Download Music Video</v>
      </c>
    </row>
    <row r="319" spans="1:13" x14ac:dyDescent="0.3">
      <c r="A319">
        <v>317</v>
      </c>
      <c r="B319">
        <v>317</v>
      </c>
      <c r="C319">
        <v>2013</v>
      </c>
      <c r="D319" t="s">
        <v>24</v>
      </c>
      <c r="E319">
        <v>1332.7953657329999</v>
      </c>
      <c r="F319">
        <v>2118.6944973939999</v>
      </c>
      <c r="G319">
        <v>2.1186944973939998</v>
      </c>
      <c r="H319">
        <v>1.5896622631402799</v>
      </c>
      <c r="I319">
        <v>2118.6944973939999</v>
      </c>
      <c r="J319">
        <v>1332.7953657329999</v>
      </c>
      <c r="K319" t="s">
        <v>23</v>
      </c>
      <c r="L319" t="str">
        <f t="shared" si="4"/>
        <v>Download Single</v>
      </c>
    </row>
    <row r="320" spans="1:13" x14ac:dyDescent="0.3">
      <c r="A320">
        <v>318</v>
      </c>
      <c r="B320">
        <v>318</v>
      </c>
      <c r="C320">
        <v>2013</v>
      </c>
      <c r="D320" t="s">
        <v>27</v>
      </c>
      <c r="E320">
        <v>3.7442000000000002</v>
      </c>
      <c r="F320">
        <v>8.3265519179999998</v>
      </c>
      <c r="G320">
        <v>8.3265519180000004E-3</v>
      </c>
      <c r="H320">
        <v>2.2238534047326501</v>
      </c>
      <c r="I320">
        <v>8.3265519179999998</v>
      </c>
      <c r="J320">
        <v>3.7442000000000002</v>
      </c>
      <c r="K320" t="s">
        <v>23</v>
      </c>
      <c r="L320" t="str">
        <f t="shared" si="4"/>
        <v>Kiosk</v>
      </c>
    </row>
    <row r="321" spans="1:13" x14ac:dyDescent="0.3">
      <c r="A321">
        <v>319</v>
      </c>
      <c r="B321">
        <v>319</v>
      </c>
      <c r="C321">
        <v>2013</v>
      </c>
      <c r="D321" t="s">
        <v>13</v>
      </c>
      <c r="E321">
        <v>9.3512858699999999</v>
      </c>
      <c r="F321">
        <v>283.77134913200001</v>
      </c>
      <c r="G321">
        <v>0.28377134913199997</v>
      </c>
      <c r="H321">
        <v>30.3457035831158</v>
      </c>
      <c r="I321">
        <v>283.77134913200001</v>
      </c>
      <c r="J321">
        <v>9.3512858699999999</v>
      </c>
      <c r="K321" t="s">
        <v>11</v>
      </c>
      <c r="L321" t="str">
        <f t="shared" si="4"/>
        <v>LP/EP</v>
      </c>
    </row>
    <row r="322" spans="1:13" x14ac:dyDescent="0.3">
      <c r="A322">
        <v>320</v>
      </c>
      <c r="B322">
        <v>320</v>
      </c>
      <c r="C322">
        <v>2013</v>
      </c>
      <c r="D322" t="s">
        <v>19</v>
      </c>
      <c r="E322">
        <v>4.8146265240000004</v>
      </c>
      <c r="F322">
        <v>143.11590211800001</v>
      </c>
      <c r="G322">
        <v>0.14311590211799999</v>
      </c>
      <c r="H322">
        <v>29.7252344298346</v>
      </c>
      <c r="I322">
        <v>143.11590211800001</v>
      </c>
      <c r="J322">
        <v>4.8146265240000004</v>
      </c>
      <c r="K322" t="s">
        <v>11</v>
      </c>
      <c r="L322" t="str">
        <f t="shared" si="4"/>
        <v>Music Video (Physical)</v>
      </c>
    </row>
    <row r="323" spans="1:13" x14ac:dyDescent="0.3">
      <c r="A323">
        <v>321</v>
      </c>
      <c r="B323">
        <v>321</v>
      </c>
      <c r="C323">
        <v>2013</v>
      </c>
      <c r="D323" t="s">
        <v>32</v>
      </c>
      <c r="F323">
        <v>297.41798399599998</v>
      </c>
      <c r="G323">
        <v>0.297417983996</v>
      </c>
      <c r="I323">
        <v>297.41798399599998</v>
      </c>
      <c r="K323" t="s">
        <v>29</v>
      </c>
      <c r="L323" t="s">
        <v>29</v>
      </c>
      <c r="M323" t="s">
        <v>45</v>
      </c>
    </row>
    <row r="324" spans="1:13" x14ac:dyDescent="0.3">
      <c r="A324">
        <v>322</v>
      </c>
      <c r="B324">
        <v>322</v>
      </c>
      <c r="C324">
        <v>2013</v>
      </c>
      <c r="D324" t="s">
        <v>28</v>
      </c>
      <c r="F324">
        <v>866.27039674900004</v>
      </c>
      <c r="G324">
        <v>0.86627039674899997</v>
      </c>
      <c r="I324">
        <v>866.27039674900004</v>
      </c>
      <c r="K324" t="s">
        <v>29</v>
      </c>
      <c r="L324" t="s">
        <v>29</v>
      </c>
      <c r="M324" t="s">
        <v>28</v>
      </c>
    </row>
    <row r="325" spans="1:13" x14ac:dyDescent="0.3">
      <c r="A325">
        <v>323</v>
      </c>
      <c r="B325">
        <v>323</v>
      </c>
      <c r="C325">
        <v>2013</v>
      </c>
      <c r="D325" t="s">
        <v>30</v>
      </c>
      <c r="E325">
        <v>39.366235777999997</v>
      </c>
      <c r="F325">
        <v>131.96169418900001</v>
      </c>
      <c r="G325">
        <v>0.131961694189</v>
      </c>
      <c r="H325">
        <v>3.3521542403286402</v>
      </c>
      <c r="I325">
        <v>131.96169418900001</v>
      </c>
      <c r="J325">
        <v>39.366235777999997</v>
      </c>
      <c r="K325" t="s">
        <v>23</v>
      </c>
      <c r="L325" t="str">
        <f t="shared" ref="L323:L386" si="5">D325</f>
        <v>Ringtones &amp; Ringbacks</v>
      </c>
    </row>
    <row r="326" spans="1:13" x14ac:dyDescent="0.3">
      <c r="A326">
        <v>324</v>
      </c>
      <c r="B326">
        <v>324</v>
      </c>
      <c r="C326">
        <v>2013</v>
      </c>
      <c r="D326" t="s">
        <v>21</v>
      </c>
      <c r="E326">
        <v>4.4683E-2</v>
      </c>
      <c r="F326">
        <v>1.3174442470000001</v>
      </c>
      <c r="G326">
        <v>1.317444247E-3</v>
      </c>
      <c r="H326">
        <v>29.484238905176401</v>
      </c>
      <c r="I326">
        <v>1.3174442470000001</v>
      </c>
      <c r="J326">
        <v>4.4683E-2</v>
      </c>
      <c r="K326" t="s">
        <v>11</v>
      </c>
      <c r="L326" t="str">
        <f t="shared" si="5"/>
        <v>SACD</v>
      </c>
    </row>
    <row r="327" spans="1:13" x14ac:dyDescent="0.3">
      <c r="A327">
        <v>325</v>
      </c>
      <c r="B327">
        <v>325</v>
      </c>
      <c r="C327">
        <v>2013</v>
      </c>
      <c r="D327" t="s">
        <v>25</v>
      </c>
      <c r="F327">
        <v>795.00502496199999</v>
      </c>
      <c r="G327">
        <v>0.79500502496199998</v>
      </c>
      <c r="I327">
        <v>795.00502496199999</v>
      </c>
      <c r="K327" t="s">
        <v>23</v>
      </c>
      <c r="L327" t="str">
        <f t="shared" si="5"/>
        <v>SoundExchange Distributions</v>
      </c>
    </row>
    <row r="328" spans="1:13" x14ac:dyDescent="0.3">
      <c r="A328">
        <v>326</v>
      </c>
      <c r="B328">
        <v>326</v>
      </c>
      <c r="C328">
        <v>2013</v>
      </c>
      <c r="D328" t="s">
        <v>31</v>
      </c>
      <c r="F328">
        <v>255.41345386500001</v>
      </c>
      <c r="G328">
        <v>0.25541345386499997</v>
      </c>
      <c r="I328">
        <v>255.41345386500001</v>
      </c>
      <c r="K328" t="s">
        <v>23</v>
      </c>
      <c r="L328" t="str">
        <f t="shared" si="5"/>
        <v>Synchronization</v>
      </c>
    </row>
    <row r="329" spans="1:13" x14ac:dyDescent="0.3">
      <c r="A329">
        <v>327</v>
      </c>
      <c r="B329">
        <v>327</v>
      </c>
      <c r="C329">
        <v>2013</v>
      </c>
      <c r="D329" t="s">
        <v>15</v>
      </c>
      <c r="E329">
        <v>0.31581705399999999</v>
      </c>
      <c r="F329">
        <v>4.0112974709999998</v>
      </c>
      <c r="G329">
        <v>4.0112974709999999E-3</v>
      </c>
      <c r="H329">
        <v>12.7013326867395</v>
      </c>
      <c r="I329">
        <v>4.0112974709999998</v>
      </c>
      <c r="J329">
        <v>0.31581705399999999</v>
      </c>
      <c r="K329" t="s">
        <v>11</v>
      </c>
      <c r="L329" t="str">
        <f t="shared" si="5"/>
        <v>Vinyl Single</v>
      </c>
    </row>
    <row r="330" spans="1:13" x14ac:dyDescent="0.3">
      <c r="A330">
        <v>328</v>
      </c>
      <c r="B330">
        <v>328</v>
      </c>
      <c r="C330">
        <v>2014</v>
      </c>
      <c r="D330" t="s">
        <v>16</v>
      </c>
      <c r="E330">
        <v>138.702363357</v>
      </c>
      <c r="F330">
        <v>2353.633896543</v>
      </c>
      <c r="G330">
        <v>2.3536338965430001</v>
      </c>
      <c r="H330">
        <v>16.9689530847076</v>
      </c>
      <c r="I330">
        <v>2353.633896543</v>
      </c>
      <c r="J330">
        <v>138.702363357</v>
      </c>
      <c r="K330" t="s">
        <v>11</v>
      </c>
      <c r="L330" t="str">
        <f t="shared" si="5"/>
        <v>CD</v>
      </c>
    </row>
    <row r="331" spans="1:13" x14ac:dyDescent="0.3">
      <c r="A331">
        <v>329</v>
      </c>
      <c r="B331">
        <v>329</v>
      </c>
      <c r="C331">
        <v>2014</v>
      </c>
      <c r="D331" t="s">
        <v>18</v>
      </c>
      <c r="E331">
        <v>0.92872511599999996</v>
      </c>
      <c r="F331">
        <v>4.7914313870000003</v>
      </c>
      <c r="G331">
        <v>4.7914313870000003E-3</v>
      </c>
      <c r="H331">
        <v>5.1591491437602004</v>
      </c>
      <c r="I331">
        <v>4.7914313870000003</v>
      </c>
      <c r="J331">
        <v>0.92872511599999996</v>
      </c>
      <c r="K331" t="s">
        <v>11</v>
      </c>
      <c r="L331" t="str">
        <f t="shared" si="5"/>
        <v>CD Single</v>
      </c>
    </row>
    <row r="332" spans="1:13" x14ac:dyDescent="0.3">
      <c r="A332">
        <v>330</v>
      </c>
      <c r="B332">
        <v>330</v>
      </c>
      <c r="C332">
        <v>2014</v>
      </c>
      <c r="D332" t="s">
        <v>20</v>
      </c>
      <c r="E332">
        <v>6.6542721999999999E-2</v>
      </c>
      <c r="F332">
        <v>2.8349104660000002</v>
      </c>
      <c r="G332">
        <v>2.8349104659999998E-3</v>
      </c>
      <c r="H332">
        <v>42.602862954719498</v>
      </c>
      <c r="I332">
        <v>2.8349104660000002</v>
      </c>
      <c r="J332">
        <v>6.6542721999999999E-2</v>
      </c>
      <c r="K332" t="s">
        <v>11</v>
      </c>
      <c r="L332" t="str">
        <f t="shared" si="5"/>
        <v>DVD Audio</v>
      </c>
    </row>
    <row r="333" spans="1:13" x14ac:dyDescent="0.3">
      <c r="A333">
        <v>331</v>
      </c>
      <c r="B333">
        <v>331</v>
      </c>
      <c r="C333">
        <v>2014</v>
      </c>
      <c r="D333" t="s">
        <v>22</v>
      </c>
      <c r="E333">
        <v>114.230470801</v>
      </c>
      <c r="F333">
        <v>1481.2826771980001</v>
      </c>
      <c r="G333">
        <v>1.4812826771980001</v>
      </c>
      <c r="H333">
        <v>12.967491657970401</v>
      </c>
      <c r="I333">
        <v>1481.2826771980001</v>
      </c>
      <c r="J333">
        <v>114.230470801</v>
      </c>
      <c r="K333" t="s">
        <v>23</v>
      </c>
      <c r="L333" t="str">
        <f t="shared" si="5"/>
        <v>Download Album</v>
      </c>
    </row>
    <row r="334" spans="1:13" x14ac:dyDescent="0.3">
      <c r="A334">
        <v>332</v>
      </c>
      <c r="B334">
        <v>332</v>
      </c>
      <c r="C334">
        <v>2014</v>
      </c>
      <c r="D334" t="s">
        <v>26</v>
      </c>
      <c r="E334">
        <v>6.82264392</v>
      </c>
      <c r="F334">
        <v>17.990393294</v>
      </c>
      <c r="G334">
        <v>1.7990393293999998E-2</v>
      </c>
      <c r="H334">
        <v>2.63686534207987</v>
      </c>
      <c r="I334">
        <v>17.990393294</v>
      </c>
      <c r="J334">
        <v>6.82264392</v>
      </c>
      <c r="K334" t="s">
        <v>23</v>
      </c>
      <c r="L334" t="str">
        <f t="shared" si="5"/>
        <v>Download Music Video</v>
      </c>
    </row>
    <row r="335" spans="1:13" x14ac:dyDescent="0.3">
      <c r="A335">
        <v>333</v>
      </c>
      <c r="B335">
        <v>333</v>
      </c>
      <c r="C335">
        <v>2014</v>
      </c>
      <c r="D335" t="s">
        <v>24</v>
      </c>
      <c r="E335">
        <v>1154.3793268700001</v>
      </c>
      <c r="F335">
        <v>1795.8929140319999</v>
      </c>
      <c r="G335">
        <v>1.7958929140319999</v>
      </c>
      <c r="H335">
        <v>1.5557216525190201</v>
      </c>
      <c r="I335">
        <v>1795.8929140319999</v>
      </c>
      <c r="J335">
        <v>1154.3793268700001</v>
      </c>
      <c r="K335" t="s">
        <v>23</v>
      </c>
      <c r="L335" t="str">
        <f t="shared" si="5"/>
        <v>Download Single</v>
      </c>
    </row>
    <row r="336" spans="1:13" x14ac:dyDescent="0.3">
      <c r="A336">
        <v>334</v>
      </c>
      <c r="B336">
        <v>334</v>
      </c>
      <c r="C336">
        <v>2014</v>
      </c>
      <c r="D336" t="s">
        <v>27</v>
      </c>
      <c r="E336">
        <v>1.5920733579999999</v>
      </c>
      <c r="F336">
        <v>3.4221432489999999</v>
      </c>
      <c r="G336">
        <v>3.4221432489999898E-3</v>
      </c>
      <c r="H336">
        <v>2.1494884213746102</v>
      </c>
      <c r="I336">
        <v>3.4221432489999999</v>
      </c>
      <c r="J336">
        <v>1.5920733579999999</v>
      </c>
      <c r="K336" t="s">
        <v>23</v>
      </c>
      <c r="L336" t="str">
        <f t="shared" si="5"/>
        <v>Kiosk</v>
      </c>
    </row>
    <row r="337" spans="1:13" x14ac:dyDescent="0.3">
      <c r="A337">
        <v>335</v>
      </c>
      <c r="B337">
        <v>335</v>
      </c>
      <c r="C337">
        <v>2014</v>
      </c>
      <c r="D337" t="s">
        <v>13</v>
      </c>
      <c r="E337">
        <v>10.315563906</v>
      </c>
      <c r="F337">
        <v>323.11128856099998</v>
      </c>
      <c r="G337">
        <v>0.32311128856099902</v>
      </c>
      <c r="H337">
        <v>31.322697576723201</v>
      </c>
      <c r="I337">
        <v>323.11128856099998</v>
      </c>
      <c r="J337">
        <v>10.315563906</v>
      </c>
      <c r="K337" t="s">
        <v>11</v>
      </c>
      <c r="L337" t="str">
        <f t="shared" si="5"/>
        <v>LP/EP</v>
      </c>
    </row>
    <row r="338" spans="1:13" x14ac:dyDescent="0.3">
      <c r="A338">
        <v>336</v>
      </c>
      <c r="B338">
        <v>336</v>
      </c>
      <c r="C338">
        <v>2014</v>
      </c>
      <c r="D338" t="s">
        <v>19</v>
      </c>
      <c r="E338">
        <v>4.0653236010000002</v>
      </c>
      <c r="F338">
        <v>118.86512252199999</v>
      </c>
      <c r="G338">
        <v>0.118865122521999</v>
      </c>
      <c r="H338">
        <v>29.238784950049499</v>
      </c>
      <c r="I338">
        <v>118.86512252199999</v>
      </c>
      <c r="J338">
        <v>4.0653236010000002</v>
      </c>
      <c r="K338" t="s">
        <v>11</v>
      </c>
      <c r="L338" t="str">
        <f t="shared" si="5"/>
        <v>Music Video (Physical)</v>
      </c>
    </row>
    <row r="339" spans="1:13" x14ac:dyDescent="0.3">
      <c r="A339">
        <v>337</v>
      </c>
      <c r="B339">
        <v>337</v>
      </c>
      <c r="C339">
        <v>2014</v>
      </c>
      <c r="D339" t="s">
        <v>32</v>
      </c>
      <c r="F339">
        <v>376.04281052300001</v>
      </c>
      <c r="G339">
        <v>0.37604281052299998</v>
      </c>
      <c r="I339">
        <v>376.04281052300001</v>
      </c>
      <c r="K339" t="s">
        <v>29</v>
      </c>
      <c r="L339" t="s">
        <v>29</v>
      </c>
      <c r="M339" t="s">
        <v>45</v>
      </c>
    </row>
    <row r="340" spans="1:13" x14ac:dyDescent="0.3">
      <c r="A340">
        <v>338</v>
      </c>
      <c r="B340">
        <v>338</v>
      </c>
      <c r="C340">
        <v>2014</v>
      </c>
      <c r="D340" t="s">
        <v>28</v>
      </c>
      <c r="F340">
        <v>1020.6533920529999</v>
      </c>
      <c r="G340">
        <v>1.0206533920529901</v>
      </c>
      <c r="I340">
        <v>1020.6533920529999</v>
      </c>
      <c r="K340" t="s">
        <v>29</v>
      </c>
      <c r="L340" t="s">
        <v>29</v>
      </c>
      <c r="M340" t="s">
        <v>28</v>
      </c>
    </row>
    <row r="341" spans="1:13" x14ac:dyDescent="0.3">
      <c r="A341">
        <v>339</v>
      </c>
      <c r="B341">
        <v>339</v>
      </c>
      <c r="C341">
        <v>2014</v>
      </c>
      <c r="D341" t="s">
        <v>30</v>
      </c>
      <c r="E341">
        <v>26.632323682999999</v>
      </c>
      <c r="F341">
        <v>87.866431607999999</v>
      </c>
      <c r="G341">
        <v>8.7866431608000006E-2</v>
      </c>
      <c r="H341">
        <v>3.2992401509481102</v>
      </c>
      <c r="I341">
        <v>87.866431607999999</v>
      </c>
      <c r="J341">
        <v>26.632323682999999</v>
      </c>
      <c r="K341" t="s">
        <v>23</v>
      </c>
      <c r="L341" t="str">
        <f t="shared" si="5"/>
        <v>Ringtones &amp; Ringbacks</v>
      </c>
    </row>
    <row r="342" spans="1:13" x14ac:dyDescent="0.3">
      <c r="A342">
        <v>340</v>
      </c>
      <c r="B342">
        <v>340</v>
      </c>
      <c r="C342">
        <v>2014</v>
      </c>
      <c r="D342" t="s">
        <v>21</v>
      </c>
      <c r="E342">
        <v>3.0485999999999999E-2</v>
      </c>
      <c r="F342">
        <v>1.0116096450000001</v>
      </c>
      <c r="G342">
        <v>1.0116096449999999E-3</v>
      </c>
      <c r="H342">
        <v>33.182760775437899</v>
      </c>
      <c r="I342">
        <v>1.0116096450000001</v>
      </c>
      <c r="J342">
        <v>3.0485999999999999E-2</v>
      </c>
      <c r="K342" t="s">
        <v>11</v>
      </c>
      <c r="L342" t="str">
        <f t="shared" si="5"/>
        <v>SACD</v>
      </c>
    </row>
    <row r="343" spans="1:13" x14ac:dyDescent="0.3">
      <c r="A343">
        <v>341</v>
      </c>
      <c r="B343">
        <v>341</v>
      </c>
      <c r="C343">
        <v>2014</v>
      </c>
      <c r="D343" t="s">
        <v>25</v>
      </c>
      <c r="F343">
        <v>1024.8000836369999</v>
      </c>
      <c r="G343">
        <v>1.0248000836369999</v>
      </c>
      <c r="I343">
        <v>1024.8000836369999</v>
      </c>
      <c r="K343" t="s">
        <v>23</v>
      </c>
      <c r="L343" t="str">
        <f t="shared" si="5"/>
        <v>SoundExchange Distributions</v>
      </c>
    </row>
    <row r="344" spans="1:13" x14ac:dyDescent="0.3">
      <c r="A344">
        <v>342</v>
      </c>
      <c r="B344">
        <v>342</v>
      </c>
      <c r="C344">
        <v>2014</v>
      </c>
      <c r="D344" t="s">
        <v>31</v>
      </c>
      <c r="F344">
        <v>251.380915079</v>
      </c>
      <c r="G344">
        <v>0.25138091507900001</v>
      </c>
      <c r="I344">
        <v>251.380915079</v>
      </c>
      <c r="K344" t="s">
        <v>23</v>
      </c>
      <c r="L344" t="str">
        <f t="shared" si="5"/>
        <v>Synchronization</v>
      </c>
    </row>
    <row r="345" spans="1:13" x14ac:dyDescent="0.3">
      <c r="A345">
        <v>343</v>
      </c>
      <c r="B345">
        <v>343</v>
      </c>
      <c r="C345">
        <v>2014</v>
      </c>
      <c r="D345" t="s">
        <v>15</v>
      </c>
      <c r="E345">
        <v>0.48119827799999998</v>
      </c>
      <c r="F345">
        <v>7.286965007</v>
      </c>
      <c r="G345">
        <v>7.2869650069999998E-3</v>
      </c>
      <c r="H345">
        <v>15.143372992286499</v>
      </c>
      <c r="I345">
        <v>7.286965007</v>
      </c>
      <c r="J345">
        <v>0.48119827799999998</v>
      </c>
      <c r="K345" t="s">
        <v>11</v>
      </c>
      <c r="L345" t="str">
        <f t="shared" si="5"/>
        <v>Vinyl Single</v>
      </c>
    </row>
    <row r="346" spans="1:13" x14ac:dyDescent="0.3">
      <c r="A346">
        <v>344</v>
      </c>
      <c r="B346">
        <v>344</v>
      </c>
      <c r="C346">
        <v>2015</v>
      </c>
      <c r="D346" t="s">
        <v>16</v>
      </c>
      <c r="E346">
        <v>117.144051764</v>
      </c>
      <c r="F346">
        <v>1912.430204942</v>
      </c>
      <c r="G346">
        <v>1.9124302049419999</v>
      </c>
      <c r="H346">
        <v>16.3254572139506</v>
      </c>
      <c r="I346">
        <v>1912.430204942</v>
      </c>
      <c r="J346">
        <v>117.144051764</v>
      </c>
      <c r="K346" t="s">
        <v>11</v>
      </c>
      <c r="L346" t="str">
        <f t="shared" si="5"/>
        <v>CD</v>
      </c>
    </row>
    <row r="347" spans="1:13" x14ac:dyDescent="0.3">
      <c r="A347">
        <v>345</v>
      </c>
      <c r="B347">
        <v>345</v>
      </c>
      <c r="C347">
        <v>2015</v>
      </c>
      <c r="D347" t="s">
        <v>18</v>
      </c>
      <c r="E347">
        <v>0.38672156299999999</v>
      </c>
      <c r="F347">
        <v>1.584143691</v>
      </c>
      <c r="G347">
        <v>1.5841436909999999E-3</v>
      </c>
      <c r="H347">
        <v>4.0963417677332803</v>
      </c>
      <c r="I347">
        <v>1.584143691</v>
      </c>
      <c r="J347">
        <v>0.38672156299999999</v>
      </c>
      <c r="K347" t="s">
        <v>11</v>
      </c>
      <c r="L347" t="str">
        <f t="shared" si="5"/>
        <v>CD Single</v>
      </c>
    </row>
    <row r="348" spans="1:13" x14ac:dyDescent="0.3">
      <c r="A348">
        <v>346</v>
      </c>
      <c r="B348">
        <v>346</v>
      </c>
      <c r="C348">
        <v>2015</v>
      </c>
      <c r="D348" t="s">
        <v>20</v>
      </c>
      <c r="E348">
        <v>0.179506738</v>
      </c>
      <c r="F348">
        <v>7.1683153989999999</v>
      </c>
      <c r="G348">
        <v>7.1683153990000003E-3</v>
      </c>
      <c r="H348">
        <v>39.9334057254162</v>
      </c>
      <c r="I348">
        <v>7.1683153989999999</v>
      </c>
      <c r="J348">
        <v>0.179506738</v>
      </c>
      <c r="K348" t="s">
        <v>11</v>
      </c>
      <c r="L348" t="str">
        <f t="shared" si="5"/>
        <v>DVD Audio</v>
      </c>
    </row>
    <row r="349" spans="1:13" x14ac:dyDescent="0.3">
      <c r="A349">
        <v>347</v>
      </c>
      <c r="B349">
        <v>347</v>
      </c>
      <c r="C349">
        <v>2015</v>
      </c>
      <c r="D349" t="s">
        <v>22</v>
      </c>
      <c r="E349">
        <v>106.783884116</v>
      </c>
      <c r="F349">
        <v>1408.764407788</v>
      </c>
      <c r="G349">
        <v>1.4087644077879999</v>
      </c>
      <c r="H349">
        <v>13.1926687201005</v>
      </c>
      <c r="I349">
        <v>1408.764407788</v>
      </c>
      <c r="J349">
        <v>106.783884116</v>
      </c>
      <c r="K349" t="s">
        <v>23</v>
      </c>
      <c r="L349" t="str">
        <f t="shared" si="5"/>
        <v>Download Album</v>
      </c>
    </row>
    <row r="350" spans="1:13" x14ac:dyDescent="0.3">
      <c r="A350">
        <v>348</v>
      </c>
      <c r="B350">
        <v>348</v>
      </c>
      <c r="C350">
        <v>2015</v>
      </c>
      <c r="D350" t="s">
        <v>26</v>
      </c>
      <c r="E350">
        <v>3.2233250020000002</v>
      </c>
      <c r="F350">
        <v>8.4894023710000006</v>
      </c>
      <c r="G350">
        <v>8.4894023709999999E-3</v>
      </c>
      <c r="H350">
        <v>2.6337407384401201</v>
      </c>
      <c r="I350">
        <v>8.4894023710000006</v>
      </c>
      <c r="J350">
        <v>3.2233250020000002</v>
      </c>
      <c r="K350" t="s">
        <v>23</v>
      </c>
      <c r="L350" t="str">
        <f t="shared" si="5"/>
        <v>Download Music Video</v>
      </c>
    </row>
    <row r="351" spans="1:13" x14ac:dyDescent="0.3">
      <c r="A351">
        <v>349</v>
      </c>
      <c r="B351">
        <v>349</v>
      </c>
      <c r="C351">
        <v>2015</v>
      </c>
      <c r="D351" t="s">
        <v>24</v>
      </c>
      <c r="E351">
        <v>986.25503590000005</v>
      </c>
      <c r="F351">
        <v>1568.6469570740001</v>
      </c>
      <c r="G351">
        <v>1.568646957074</v>
      </c>
      <c r="H351">
        <v>1.5905084384613899</v>
      </c>
      <c r="I351">
        <v>1568.6469570740001</v>
      </c>
      <c r="J351">
        <v>986.25503590000005</v>
      </c>
      <c r="K351" t="s">
        <v>23</v>
      </c>
      <c r="L351" t="str">
        <f t="shared" si="5"/>
        <v>Download Single</v>
      </c>
    </row>
    <row r="352" spans="1:13" x14ac:dyDescent="0.3">
      <c r="A352">
        <v>350</v>
      </c>
      <c r="B352">
        <v>350</v>
      </c>
      <c r="C352">
        <v>2015</v>
      </c>
      <c r="D352" t="s">
        <v>27</v>
      </c>
      <c r="E352">
        <v>2.202659889</v>
      </c>
      <c r="F352">
        <v>4.8975053620000004</v>
      </c>
      <c r="G352">
        <v>4.8975053620000002E-3</v>
      </c>
      <c r="H352">
        <v>2.2234505592342901</v>
      </c>
      <c r="I352">
        <v>4.8975053620000004</v>
      </c>
      <c r="J352">
        <v>2.202659889</v>
      </c>
      <c r="K352" t="s">
        <v>23</v>
      </c>
      <c r="L352" t="str">
        <f t="shared" si="5"/>
        <v>Kiosk</v>
      </c>
    </row>
    <row r="353" spans="1:13" x14ac:dyDescent="0.3">
      <c r="A353">
        <v>351</v>
      </c>
      <c r="B353">
        <v>351</v>
      </c>
      <c r="C353">
        <v>2015</v>
      </c>
      <c r="D353" t="s">
        <v>13</v>
      </c>
      <c r="E353">
        <v>13.68102972</v>
      </c>
      <c r="F353">
        <v>441.22393719199999</v>
      </c>
      <c r="G353">
        <v>0.44122393719199998</v>
      </c>
      <c r="H353">
        <v>32.250784204275497</v>
      </c>
      <c r="I353">
        <v>441.22393719199999</v>
      </c>
      <c r="J353">
        <v>13.68102972</v>
      </c>
      <c r="K353" t="s">
        <v>11</v>
      </c>
      <c r="L353" t="str">
        <f t="shared" si="5"/>
        <v>LP/EP</v>
      </c>
    </row>
    <row r="354" spans="1:13" x14ac:dyDescent="0.3">
      <c r="A354">
        <v>352</v>
      </c>
      <c r="B354">
        <v>352</v>
      </c>
      <c r="C354">
        <v>2015</v>
      </c>
      <c r="D354" t="s">
        <v>19</v>
      </c>
      <c r="E354">
        <v>3.133228006</v>
      </c>
      <c r="F354">
        <v>93.218989336999996</v>
      </c>
      <c r="G354">
        <v>9.3218989336999999E-2</v>
      </c>
      <c r="H354">
        <v>29.7517413857177</v>
      </c>
      <c r="I354">
        <v>93.218989336999996</v>
      </c>
      <c r="J354">
        <v>3.133228006</v>
      </c>
      <c r="K354" t="s">
        <v>11</v>
      </c>
      <c r="L354" t="str">
        <f t="shared" si="5"/>
        <v>Music Video (Physical)</v>
      </c>
    </row>
    <row r="355" spans="1:13" x14ac:dyDescent="0.3">
      <c r="A355">
        <v>353</v>
      </c>
      <c r="B355">
        <v>353</v>
      </c>
      <c r="C355">
        <v>2015</v>
      </c>
      <c r="D355" t="s">
        <v>32</v>
      </c>
      <c r="F355">
        <v>492.324582018</v>
      </c>
      <c r="G355">
        <v>0.492324582018</v>
      </c>
      <c r="I355">
        <v>492.324582018</v>
      </c>
      <c r="K355" t="s">
        <v>29</v>
      </c>
      <c r="L355" t="s">
        <v>29</v>
      </c>
      <c r="M355" t="s">
        <v>45</v>
      </c>
    </row>
    <row r="356" spans="1:13" x14ac:dyDescent="0.3">
      <c r="A356">
        <v>354</v>
      </c>
      <c r="B356">
        <v>354</v>
      </c>
      <c r="C356">
        <v>2015</v>
      </c>
      <c r="D356" t="s">
        <v>28</v>
      </c>
      <c r="F356">
        <v>1530.8890792960001</v>
      </c>
      <c r="G356">
        <v>1.5308890792959999</v>
      </c>
      <c r="I356">
        <v>1530.8890792960001</v>
      </c>
      <c r="K356" t="s">
        <v>29</v>
      </c>
      <c r="L356" t="s">
        <v>29</v>
      </c>
      <c r="M356" t="s">
        <v>28</v>
      </c>
    </row>
    <row r="357" spans="1:13" x14ac:dyDescent="0.3">
      <c r="A357">
        <v>355</v>
      </c>
      <c r="B357">
        <v>355</v>
      </c>
      <c r="C357">
        <v>2015</v>
      </c>
      <c r="D357" t="s">
        <v>30</v>
      </c>
      <c r="E357">
        <v>21.924866053999999</v>
      </c>
      <c r="F357">
        <v>72.238618310999996</v>
      </c>
      <c r="G357">
        <v>7.2238618310999994E-2</v>
      </c>
      <c r="H357">
        <v>3.2948259812889802</v>
      </c>
      <c r="I357">
        <v>72.238618310999996</v>
      </c>
      <c r="J357">
        <v>21.924866053999999</v>
      </c>
      <c r="K357" t="s">
        <v>23</v>
      </c>
      <c r="L357" t="str">
        <f t="shared" si="5"/>
        <v>Ringtones &amp; Ringbacks</v>
      </c>
    </row>
    <row r="358" spans="1:13" x14ac:dyDescent="0.3">
      <c r="A358">
        <v>356</v>
      </c>
      <c r="B358">
        <v>356</v>
      </c>
      <c r="C358">
        <v>2015</v>
      </c>
      <c r="D358" t="s">
        <v>21</v>
      </c>
      <c r="E358">
        <v>4.1633000000000003E-2</v>
      </c>
      <c r="F358">
        <v>1.381014787</v>
      </c>
      <c r="G358">
        <v>1.381014787E-3</v>
      </c>
      <c r="H358">
        <v>33.1711571830038</v>
      </c>
      <c r="I358">
        <v>1.381014787</v>
      </c>
      <c r="J358">
        <v>4.1633000000000003E-2</v>
      </c>
      <c r="K358" t="s">
        <v>11</v>
      </c>
      <c r="L358" t="str">
        <f t="shared" si="5"/>
        <v>SACD</v>
      </c>
    </row>
    <row r="359" spans="1:13" x14ac:dyDescent="0.3">
      <c r="A359">
        <v>357</v>
      </c>
      <c r="B359">
        <v>357</v>
      </c>
      <c r="C359">
        <v>2015</v>
      </c>
      <c r="D359" t="s">
        <v>25</v>
      </c>
      <c r="F359">
        <v>1062.2309429280001</v>
      </c>
      <c r="G359">
        <v>1.0622309429279999</v>
      </c>
      <c r="I359">
        <v>1062.2309429280001</v>
      </c>
      <c r="K359" t="s">
        <v>23</v>
      </c>
      <c r="L359" t="str">
        <f t="shared" si="5"/>
        <v>SoundExchange Distributions</v>
      </c>
    </row>
    <row r="360" spans="1:13" x14ac:dyDescent="0.3">
      <c r="A360">
        <v>358</v>
      </c>
      <c r="B360">
        <v>358</v>
      </c>
      <c r="C360">
        <v>2015</v>
      </c>
      <c r="D360" t="s">
        <v>31</v>
      </c>
      <c r="F360">
        <v>268.58175608400001</v>
      </c>
      <c r="G360">
        <v>0.26858175608399998</v>
      </c>
      <c r="I360">
        <v>268.58175608400001</v>
      </c>
      <c r="K360" t="s">
        <v>23</v>
      </c>
      <c r="L360" t="str">
        <f t="shared" si="5"/>
        <v>Synchronization</v>
      </c>
    </row>
    <row r="361" spans="1:13" x14ac:dyDescent="0.3">
      <c r="A361">
        <v>359</v>
      </c>
      <c r="B361">
        <v>359</v>
      </c>
      <c r="C361">
        <v>2015</v>
      </c>
      <c r="D361" t="s">
        <v>15</v>
      </c>
      <c r="E361">
        <v>0.50786991000000004</v>
      </c>
      <c r="F361">
        <v>7.6139619219999997</v>
      </c>
      <c r="G361">
        <v>7.6139619219999996E-3</v>
      </c>
      <c r="H361">
        <v>14.9919531991962</v>
      </c>
      <c r="I361">
        <v>7.6139619219999997</v>
      </c>
      <c r="J361">
        <v>0.50786991000000004</v>
      </c>
      <c r="K361" t="s">
        <v>11</v>
      </c>
      <c r="L361" t="str">
        <f t="shared" si="5"/>
        <v>Vinyl Single</v>
      </c>
    </row>
    <row r="362" spans="1:13" x14ac:dyDescent="0.3">
      <c r="A362">
        <v>360</v>
      </c>
      <c r="B362">
        <v>360</v>
      </c>
      <c r="C362">
        <v>2016</v>
      </c>
      <c r="D362" t="s">
        <v>16</v>
      </c>
      <c r="E362">
        <v>97.577071196999995</v>
      </c>
      <c r="F362">
        <v>1477.908696388</v>
      </c>
      <c r="G362">
        <v>1.4779086963879999</v>
      </c>
      <c r="H362">
        <v>15.1460653436115</v>
      </c>
      <c r="I362">
        <v>1477.908696388</v>
      </c>
      <c r="J362">
        <v>97.577071196999995</v>
      </c>
      <c r="K362" t="s">
        <v>11</v>
      </c>
      <c r="L362" t="str">
        <f t="shared" si="5"/>
        <v>CD</v>
      </c>
    </row>
    <row r="363" spans="1:13" x14ac:dyDescent="0.3">
      <c r="A363">
        <v>361</v>
      </c>
      <c r="B363">
        <v>361</v>
      </c>
      <c r="C363">
        <v>2016</v>
      </c>
      <c r="D363" t="s">
        <v>18</v>
      </c>
      <c r="E363">
        <v>0.121745255</v>
      </c>
      <c r="F363">
        <v>0.34400103599999998</v>
      </c>
      <c r="G363">
        <v>3.4400103599999999E-4</v>
      </c>
      <c r="H363">
        <v>2.8255806437794999</v>
      </c>
      <c r="I363">
        <v>0.34400103599999998</v>
      </c>
      <c r="J363">
        <v>0.121745255</v>
      </c>
      <c r="K363" t="s">
        <v>11</v>
      </c>
      <c r="L363" t="str">
        <f t="shared" si="5"/>
        <v>CD Single</v>
      </c>
    </row>
    <row r="364" spans="1:13" x14ac:dyDescent="0.3">
      <c r="A364">
        <v>362</v>
      </c>
      <c r="B364">
        <v>362</v>
      </c>
      <c r="C364">
        <v>2016</v>
      </c>
      <c r="D364" t="s">
        <v>20</v>
      </c>
      <c r="E364">
        <v>8.5898931999999997E-2</v>
      </c>
      <c r="F364">
        <v>3.7060436220000001</v>
      </c>
      <c r="G364">
        <v>3.7060436220000001E-3</v>
      </c>
      <c r="H364">
        <v>43.144233993502901</v>
      </c>
      <c r="I364">
        <v>3.7060436220000001</v>
      </c>
      <c r="J364">
        <v>8.5898931999999997E-2</v>
      </c>
      <c r="K364" t="s">
        <v>11</v>
      </c>
      <c r="L364" t="str">
        <f t="shared" si="5"/>
        <v>DVD Audio</v>
      </c>
    </row>
    <row r="365" spans="1:13" x14ac:dyDescent="0.3">
      <c r="A365">
        <v>363</v>
      </c>
      <c r="B365">
        <v>363</v>
      </c>
      <c r="C365">
        <v>2016</v>
      </c>
      <c r="D365" t="s">
        <v>22</v>
      </c>
      <c r="E365">
        <v>85.123349892999997</v>
      </c>
      <c r="F365">
        <v>1135.2521694960001</v>
      </c>
      <c r="G365">
        <v>1.1352521694960001</v>
      </c>
      <c r="H365">
        <v>13.3365541995587</v>
      </c>
      <c r="I365">
        <v>1135.2521694960001</v>
      </c>
      <c r="J365">
        <v>85.123349892999997</v>
      </c>
      <c r="K365" t="s">
        <v>23</v>
      </c>
      <c r="L365" t="str">
        <f t="shared" si="5"/>
        <v>Download Album</v>
      </c>
    </row>
    <row r="366" spans="1:13" x14ac:dyDescent="0.3">
      <c r="A366">
        <v>364</v>
      </c>
      <c r="B366">
        <v>364</v>
      </c>
      <c r="C366">
        <v>2016</v>
      </c>
      <c r="D366" t="s">
        <v>26</v>
      </c>
      <c r="E366">
        <v>2.145427196</v>
      </c>
      <c r="F366">
        <v>5.5801033069999999</v>
      </c>
      <c r="G366">
        <v>5.5801033070000004E-3</v>
      </c>
      <c r="H366">
        <v>2.6009287648649702</v>
      </c>
      <c r="I366">
        <v>5.5801033069999999</v>
      </c>
      <c r="J366">
        <v>2.145427196</v>
      </c>
      <c r="K366" t="s">
        <v>23</v>
      </c>
      <c r="L366" t="str">
        <f t="shared" si="5"/>
        <v>Download Music Video</v>
      </c>
    </row>
    <row r="367" spans="1:13" x14ac:dyDescent="0.3">
      <c r="A367">
        <v>365</v>
      </c>
      <c r="B367">
        <v>365</v>
      </c>
      <c r="C367">
        <v>2016</v>
      </c>
      <c r="D367" t="s">
        <v>24</v>
      </c>
      <c r="E367">
        <v>743.00341378300004</v>
      </c>
      <c r="F367">
        <v>1176.536636907</v>
      </c>
      <c r="G367">
        <v>1.1765366369070001</v>
      </c>
      <c r="H367">
        <v>1.58348752520081</v>
      </c>
      <c r="I367">
        <v>1176.536636907</v>
      </c>
      <c r="J367">
        <v>743.00341378300004</v>
      </c>
      <c r="K367" t="s">
        <v>23</v>
      </c>
      <c r="L367" t="str">
        <f t="shared" si="5"/>
        <v>Download Single</v>
      </c>
    </row>
    <row r="368" spans="1:13" x14ac:dyDescent="0.3">
      <c r="A368">
        <v>366</v>
      </c>
      <c r="B368">
        <v>366</v>
      </c>
      <c r="C368">
        <v>2016</v>
      </c>
      <c r="D368" t="s">
        <v>27</v>
      </c>
      <c r="E368">
        <v>1.74878121</v>
      </c>
      <c r="F368">
        <v>3.8476974309999998</v>
      </c>
      <c r="G368">
        <v>3.8476974309999898E-3</v>
      </c>
      <c r="H368">
        <v>2.2002165902731701</v>
      </c>
      <c r="I368">
        <v>3.8476974309999998</v>
      </c>
      <c r="J368">
        <v>1.74878121</v>
      </c>
      <c r="K368" t="s">
        <v>23</v>
      </c>
      <c r="L368" t="str">
        <f t="shared" si="5"/>
        <v>Kiosk</v>
      </c>
    </row>
    <row r="369" spans="1:13" x14ac:dyDescent="0.3">
      <c r="A369">
        <v>367</v>
      </c>
      <c r="B369">
        <v>367</v>
      </c>
      <c r="C369">
        <v>2016</v>
      </c>
      <c r="D369" t="s">
        <v>13</v>
      </c>
      <c r="E369">
        <v>14.770886025999999</v>
      </c>
      <c r="F369">
        <v>464.54795381999998</v>
      </c>
      <c r="G369">
        <v>0.46454795381999903</v>
      </c>
      <c r="H369">
        <v>31.450242930741801</v>
      </c>
      <c r="I369">
        <v>464.54795381999998</v>
      </c>
      <c r="J369">
        <v>14.770886025999999</v>
      </c>
      <c r="K369" t="s">
        <v>11</v>
      </c>
      <c r="L369" t="str">
        <f t="shared" si="5"/>
        <v>LP/EP</v>
      </c>
    </row>
    <row r="370" spans="1:13" x14ac:dyDescent="0.3">
      <c r="A370">
        <v>368</v>
      </c>
      <c r="B370">
        <v>368</v>
      </c>
      <c r="C370">
        <v>2016</v>
      </c>
      <c r="D370" t="s">
        <v>33</v>
      </c>
      <c r="F370">
        <v>336.28146425699998</v>
      </c>
      <c r="G370">
        <v>0.33628146425700001</v>
      </c>
      <c r="I370">
        <v>336.28146425699998</v>
      </c>
      <c r="K370" t="s">
        <v>29</v>
      </c>
      <c r="L370" t="s">
        <v>29</v>
      </c>
      <c r="M370" t="s">
        <v>28</v>
      </c>
    </row>
    <row r="371" spans="1:13" x14ac:dyDescent="0.3">
      <c r="A371">
        <v>369</v>
      </c>
      <c r="B371">
        <v>369</v>
      </c>
      <c r="C371">
        <v>2016</v>
      </c>
      <c r="D371" t="s">
        <v>19</v>
      </c>
      <c r="E371">
        <v>2.4955317250000002</v>
      </c>
      <c r="F371">
        <v>74.398198637999997</v>
      </c>
      <c r="G371">
        <v>7.4398198637999999E-2</v>
      </c>
      <c r="H371">
        <v>29.812563748513298</v>
      </c>
      <c r="I371">
        <v>74.398198637999997</v>
      </c>
      <c r="J371">
        <v>2.4955317250000002</v>
      </c>
      <c r="K371" t="s">
        <v>11</v>
      </c>
      <c r="L371" t="str">
        <f t="shared" si="5"/>
        <v>Music Video (Physical)</v>
      </c>
    </row>
    <row r="372" spans="1:13" x14ac:dyDescent="0.3">
      <c r="A372">
        <v>370</v>
      </c>
      <c r="B372">
        <v>370</v>
      </c>
      <c r="C372">
        <v>2016</v>
      </c>
      <c r="D372" t="s">
        <v>32</v>
      </c>
      <c r="F372">
        <v>623.16746573</v>
      </c>
      <c r="G372">
        <v>0.62316746573000004</v>
      </c>
      <c r="I372">
        <v>623.16746573</v>
      </c>
      <c r="K372" t="s">
        <v>29</v>
      </c>
      <c r="L372" t="s">
        <v>29</v>
      </c>
      <c r="M372" t="s">
        <v>45</v>
      </c>
    </row>
    <row r="373" spans="1:13" x14ac:dyDescent="0.3">
      <c r="A373">
        <v>371</v>
      </c>
      <c r="B373">
        <v>371</v>
      </c>
      <c r="C373">
        <v>2016</v>
      </c>
      <c r="D373" t="s">
        <v>34</v>
      </c>
      <c r="F373">
        <v>92.320141852999996</v>
      </c>
      <c r="G373">
        <v>9.2320141852999998E-2</v>
      </c>
      <c r="I373">
        <v>92.320141852999996</v>
      </c>
      <c r="K373" t="s">
        <v>29</v>
      </c>
      <c r="L373" t="s">
        <v>29</v>
      </c>
      <c r="M373" t="s">
        <v>45</v>
      </c>
    </row>
    <row r="374" spans="1:13" x14ac:dyDescent="0.3">
      <c r="A374">
        <v>372</v>
      </c>
      <c r="B374">
        <v>372</v>
      </c>
      <c r="C374">
        <v>2016</v>
      </c>
      <c r="D374" t="s">
        <v>35</v>
      </c>
      <c r="F374">
        <v>22.40414273</v>
      </c>
      <c r="G374">
        <v>2.240414273E-2</v>
      </c>
      <c r="I374">
        <v>22.40414273</v>
      </c>
      <c r="K374" t="s">
        <v>23</v>
      </c>
      <c r="L374" t="str">
        <f t="shared" si="5"/>
        <v>Other Digital</v>
      </c>
    </row>
    <row r="375" spans="1:13" x14ac:dyDescent="0.3">
      <c r="A375">
        <v>373</v>
      </c>
      <c r="B375">
        <v>373</v>
      </c>
      <c r="C375">
        <v>2016</v>
      </c>
      <c r="D375" t="s">
        <v>28</v>
      </c>
      <c r="F375">
        <v>2857.6786056259998</v>
      </c>
      <c r="G375">
        <v>2.857678605626</v>
      </c>
      <c r="I375">
        <v>2857.6786056259998</v>
      </c>
      <c r="K375" t="s">
        <v>29</v>
      </c>
      <c r="L375" t="s">
        <v>29</v>
      </c>
      <c r="M375" t="s">
        <v>28</v>
      </c>
    </row>
    <row r="376" spans="1:13" x14ac:dyDescent="0.3">
      <c r="A376">
        <v>374</v>
      </c>
      <c r="B376">
        <v>374</v>
      </c>
      <c r="C376">
        <v>2016</v>
      </c>
      <c r="D376" t="s">
        <v>30</v>
      </c>
      <c r="E376">
        <v>22.620785391999998</v>
      </c>
      <c r="F376">
        <v>73.617130989000003</v>
      </c>
      <c r="G376">
        <v>7.3617130988999996E-2</v>
      </c>
      <c r="H376">
        <v>3.2544020781451302</v>
      </c>
      <c r="I376">
        <v>73.617130989000003</v>
      </c>
      <c r="J376">
        <v>22.620785391999998</v>
      </c>
      <c r="K376" t="s">
        <v>23</v>
      </c>
      <c r="L376" t="str">
        <f t="shared" si="5"/>
        <v>Ringtones &amp; Ringbacks</v>
      </c>
    </row>
    <row r="377" spans="1:13" x14ac:dyDescent="0.3">
      <c r="A377">
        <v>375</v>
      </c>
      <c r="B377">
        <v>375</v>
      </c>
      <c r="C377">
        <v>2016</v>
      </c>
      <c r="D377" t="s">
        <v>21</v>
      </c>
      <c r="E377">
        <v>4.5272E-2</v>
      </c>
      <c r="F377">
        <v>1.577367205</v>
      </c>
      <c r="G377">
        <v>1.5773672049999999E-3</v>
      </c>
      <c r="H377">
        <v>34.8420039980561</v>
      </c>
      <c r="I377">
        <v>1.577367205</v>
      </c>
      <c r="J377">
        <v>4.5272E-2</v>
      </c>
      <c r="K377" t="s">
        <v>11</v>
      </c>
      <c r="L377" t="str">
        <f t="shared" si="5"/>
        <v>SACD</v>
      </c>
    </row>
    <row r="378" spans="1:13" x14ac:dyDescent="0.3">
      <c r="A378">
        <v>376</v>
      </c>
      <c r="B378">
        <v>376</v>
      </c>
      <c r="C378">
        <v>2016</v>
      </c>
      <c r="D378" t="s">
        <v>25</v>
      </c>
      <c r="F378">
        <v>1155.2567512610001</v>
      </c>
      <c r="G378">
        <v>1.1552567512609999</v>
      </c>
      <c r="I378">
        <v>1155.2567512610001</v>
      </c>
      <c r="K378" t="s">
        <v>23</v>
      </c>
      <c r="L378" t="str">
        <f t="shared" si="5"/>
        <v>SoundExchange Distributions</v>
      </c>
    </row>
    <row r="379" spans="1:13" x14ac:dyDescent="0.3">
      <c r="A379">
        <v>377</v>
      </c>
      <c r="B379">
        <v>377</v>
      </c>
      <c r="C379">
        <v>2016</v>
      </c>
      <c r="D379" t="s">
        <v>31</v>
      </c>
      <c r="F379">
        <v>280.79440896199998</v>
      </c>
      <c r="G379">
        <v>0.28079440896199998</v>
      </c>
      <c r="I379">
        <v>280.79440896199998</v>
      </c>
      <c r="K379" t="s">
        <v>23</v>
      </c>
      <c r="L379" t="str">
        <f t="shared" si="5"/>
        <v>Synchronization</v>
      </c>
    </row>
    <row r="380" spans="1:13" x14ac:dyDescent="0.3">
      <c r="A380">
        <v>378</v>
      </c>
      <c r="B380">
        <v>378</v>
      </c>
      <c r="C380">
        <v>2016</v>
      </c>
      <c r="D380" t="s">
        <v>15</v>
      </c>
      <c r="E380">
        <v>0.40433065099999999</v>
      </c>
      <c r="F380">
        <v>6.3790453229999997</v>
      </c>
      <c r="G380">
        <v>6.3790453229999999E-3</v>
      </c>
      <c r="H380">
        <v>15.776803730370601</v>
      </c>
      <c r="I380">
        <v>6.3790453229999997</v>
      </c>
      <c r="J380">
        <v>0.40433065099999999</v>
      </c>
      <c r="K380" t="s">
        <v>11</v>
      </c>
      <c r="L380" t="str">
        <f t="shared" si="5"/>
        <v>Vinyl Single</v>
      </c>
    </row>
    <row r="381" spans="1:13" x14ac:dyDescent="0.3">
      <c r="A381">
        <v>379</v>
      </c>
      <c r="B381">
        <v>379</v>
      </c>
      <c r="C381">
        <v>2017</v>
      </c>
      <c r="D381" t="s">
        <v>16</v>
      </c>
      <c r="E381">
        <v>86.695372388999999</v>
      </c>
      <c r="F381">
        <v>1335.9374276860001</v>
      </c>
      <c r="G381">
        <v>1.3359374276860001</v>
      </c>
      <c r="H381">
        <v>15.4095586750776</v>
      </c>
      <c r="I381">
        <v>1335.9374276860001</v>
      </c>
      <c r="J381">
        <v>86.695372388999999</v>
      </c>
      <c r="K381" t="s">
        <v>11</v>
      </c>
      <c r="L381" t="str">
        <f t="shared" si="5"/>
        <v>CD</v>
      </c>
    </row>
    <row r="382" spans="1:13" x14ac:dyDescent="0.3">
      <c r="A382">
        <v>380</v>
      </c>
      <c r="B382">
        <v>380</v>
      </c>
      <c r="C382">
        <v>2017</v>
      </c>
      <c r="D382" t="s">
        <v>18</v>
      </c>
      <c r="E382">
        <v>1.5918667000000001E-2</v>
      </c>
      <c r="F382">
        <v>0.23334613900000001</v>
      </c>
      <c r="G382">
        <v>2.3334613900000001E-4</v>
      </c>
      <c r="H382">
        <v>14.658648177011299</v>
      </c>
      <c r="I382">
        <v>0.23334613900000001</v>
      </c>
      <c r="J382">
        <v>1.5918667000000001E-2</v>
      </c>
      <c r="K382" t="s">
        <v>11</v>
      </c>
      <c r="L382" t="str">
        <f t="shared" si="5"/>
        <v>CD Single</v>
      </c>
    </row>
    <row r="383" spans="1:13" x14ac:dyDescent="0.3">
      <c r="A383">
        <v>381</v>
      </c>
      <c r="B383">
        <v>381</v>
      </c>
      <c r="C383">
        <v>2017</v>
      </c>
      <c r="D383" t="s">
        <v>20</v>
      </c>
      <c r="E383">
        <v>7.2659999999999999E-3</v>
      </c>
      <c r="F383">
        <v>0.39522236599999999</v>
      </c>
      <c r="G383">
        <v>3.9522236599999998E-4</v>
      </c>
      <c r="H383">
        <v>54.393389210019201</v>
      </c>
      <c r="I383">
        <v>0.39522236599999999</v>
      </c>
      <c r="J383">
        <v>7.2659999999999999E-3</v>
      </c>
      <c r="K383" t="s">
        <v>11</v>
      </c>
      <c r="L383" t="str">
        <f t="shared" si="5"/>
        <v>DVD Audio</v>
      </c>
    </row>
    <row r="384" spans="1:13" x14ac:dyDescent="0.3">
      <c r="A384">
        <v>382</v>
      </c>
      <c r="B384">
        <v>382</v>
      </c>
      <c r="C384">
        <v>2017</v>
      </c>
      <c r="D384" t="s">
        <v>22</v>
      </c>
      <c r="E384">
        <v>64.523437322999996</v>
      </c>
      <c r="F384">
        <v>831.50090614400006</v>
      </c>
      <c r="G384">
        <v>0.83150090614399996</v>
      </c>
      <c r="H384">
        <v>12.8868042472933</v>
      </c>
      <c r="I384">
        <v>831.50090614400006</v>
      </c>
      <c r="J384">
        <v>64.523437322999996</v>
      </c>
      <c r="K384" t="s">
        <v>23</v>
      </c>
      <c r="L384" t="str">
        <f t="shared" si="5"/>
        <v>Download Album</v>
      </c>
    </row>
    <row r="385" spans="1:13" x14ac:dyDescent="0.3">
      <c r="A385">
        <v>383</v>
      </c>
      <c r="B385">
        <v>383</v>
      </c>
      <c r="C385">
        <v>2017</v>
      </c>
      <c r="D385" t="s">
        <v>26</v>
      </c>
      <c r="E385">
        <v>1.399889693</v>
      </c>
      <c r="F385">
        <v>3.5650648490000001</v>
      </c>
      <c r="G385">
        <v>3.5650648489999998E-3</v>
      </c>
      <c r="H385">
        <v>2.54667554652822</v>
      </c>
      <c r="I385">
        <v>3.5650648490000001</v>
      </c>
      <c r="J385">
        <v>1.399889693</v>
      </c>
      <c r="K385" t="s">
        <v>23</v>
      </c>
      <c r="L385" t="str">
        <f t="shared" si="5"/>
        <v>Download Music Video</v>
      </c>
    </row>
    <row r="386" spans="1:13" x14ac:dyDescent="0.3">
      <c r="A386">
        <v>384</v>
      </c>
      <c r="B386">
        <v>384</v>
      </c>
      <c r="C386">
        <v>2017</v>
      </c>
      <c r="D386" t="s">
        <v>24</v>
      </c>
      <c r="E386">
        <v>544.82912059299997</v>
      </c>
      <c r="F386">
        <v>854.70518369900003</v>
      </c>
      <c r="G386">
        <v>0.85470518369899995</v>
      </c>
      <c r="H386">
        <v>1.5687582608813599</v>
      </c>
      <c r="I386">
        <v>854.70518369900003</v>
      </c>
      <c r="J386">
        <v>544.82912059299997</v>
      </c>
      <c r="K386" t="s">
        <v>23</v>
      </c>
      <c r="L386" t="str">
        <f t="shared" si="5"/>
        <v>Download Single</v>
      </c>
    </row>
    <row r="387" spans="1:13" x14ac:dyDescent="0.3">
      <c r="A387">
        <v>385</v>
      </c>
      <c r="B387">
        <v>385</v>
      </c>
      <c r="C387">
        <v>2017</v>
      </c>
      <c r="D387" t="s">
        <v>27</v>
      </c>
      <c r="E387">
        <v>1.322377717</v>
      </c>
      <c r="F387">
        <v>2.885477007</v>
      </c>
      <c r="G387">
        <v>2.885477007E-3</v>
      </c>
      <c r="H387">
        <v>2.1820369247797902</v>
      </c>
      <c r="I387">
        <v>2.885477007</v>
      </c>
      <c r="J387">
        <v>1.322377717</v>
      </c>
      <c r="K387" t="s">
        <v>23</v>
      </c>
      <c r="L387" t="str">
        <f t="shared" ref="L387:L450" si="6">D387</f>
        <v>Kiosk</v>
      </c>
    </row>
    <row r="388" spans="1:13" x14ac:dyDescent="0.3">
      <c r="A388">
        <v>386</v>
      </c>
      <c r="B388">
        <v>386</v>
      </c>
      <c r="C388">
        <v>2017</v>
      </c>
      <c r="D388" t="s">
        <v>13</v>
      </c>
      <c r="E388">
        <v>15.556089168</v>
      </c>
      <c r="F388">
        <v>497.19182853400002</v>
      </c>
      <c r="G388">
        <v>0.49719182853400001</v>
      </c>
      <c r="H388">
        <v>31.961235447065899</v>
      </c>
      <c r="I388">
        <v>497.19182853400002</v>
      </c>
      <c r="J388">
        <v>15.556089168</v>
      </c>
      <c r="K388" t="s">
        <v>11</v>
      </c>
      <c r="L388" t="str">
        <f t="shared" si="6"/>
        <v>LP/EP</v>
      </c>
    </row>
    <row r="389" spans="1:13" x14ac:dyDescent="0.3">
      <c r="A389">
        <v>387</v>
      </c>
      <c r="B389">
        <v>387</v>
      </c>
      <c r="C389">
        <v>2017</v>
      </c>
      <c r="D389" t="s">
        <v>33</v>
      </c>
      <c r="F389">
        <v>727.89907766900001</v>
      </c>
      <c r="G389">
        <v>0.72789907766899997</v>
      </c>
      <c r="I389">
        <v>727.89907766900001</v>
      </c>
      <c r="K389" t="s">
        <v>29</v>
      </c>
      <c r="L389" t="s">
        <v>29</v>
      </c>
      <c r="M389" t="s">
        <v>28</v>
      </c>
    </row>
    <row r="390" spans="1:13" x14ac:dyDescent="0.3">
      <c r="A390">
        <v>388</v>
      </c>
      <c r="B390">
        <v>388</v>
      </c>
      <c r="C390">
        <v>2017</v>
      </c>
      <c r="D390" t="s">
        <v>19</v>
      </c>
      <c r="E390">
        <v>1.8249377899999999</v>
      </c>
      <c r="F390">
        <v>47.985770295999998</v>
      </c>
      <c r="G390">
        <v>4.7985770295999999E-2</v>
      </c>
      <c r="H390">
        <v>26.294469082148801</v>
      </c>
      <c r="I390">
        <v>47.985770295999998</v>
      </c>
      <c r="J390">
        <v>1.8249377899999999</v>
      </c>
      <c r="K390" t="s">
        <v>11</v>
      </c>
      <c r="L390" t="str">
        <f t="shared" si="6"/>
        <v>Music Video (Physical)</v>
      </c>
    </row>
    <row r="391" spans="1:13" x14ac:dyDescent="0.3">
      <c r="A391">
        <v>389</v>
      </c>
      <c r="B391">
        <v>389</v>
      </c>
      <c r="C391">
        <v>2017</v>
      </c>
      <c r="D391" t="s">
        <v>32</v>
      </c>
      <c r="F391">
        <v>786.09645333900005</v>
      </c>
      <c r="G391">
        <v>0.78609645333900002</v>
      </c>
      <c r="I391">
        <v>786.09645333900005</v>
      </c>
      <c r="K391" t="s">
        <v>29</v>
      </c>
      <c r="L391" t="s">
        <v>29</v>
      </c>
      <c r="M391" t="s">
        <v>45</v>
      </c>
    </row>
    <row r="392" spans="1:13" x14ac:dyDescent="0.3">
      <c r="A392">
        <v>390</v>
      </c>
      <c r="B392">
        <v>390</v>
      </c>
      <c r="C392">
        <v>2017</v>
      </c>
      <c r="D392" t="s">
        <v>34</v>
      </c>
      <c r="F392">
        <v>286.575197613</v>
      </c>
      <c r="G392">
        <v>0.28657519761299999</v>
      </c>
      <c r="I392">
        <v>286.575197613</v>
      </c>
      <c r="K392" t="s">
        <v>29</v>
      </c>
      <c r="L392" t="s">
        <v>29</v>
      </c>
      <c r="M392" t="s">
        <v>45</v>
      </c>
    </row>
    <row r="393" spans="1:13" x14ac:dyDescent="0.3">
      <c r="A393">
        <v>391</v>
      </c>
      <c r="B393">
        <v>391</v>
      </c>
      <c r="C393">
        <v>2017</v>
      </c>
      <c r="D393" t="s">
        <v>35</v>
      </c>
      <c r="F393">
        <v>21.608490655000001</v>
      </c>
      <c r="G393">
        <v>2.1608490655E-2</v>
      </c>
      <c r="I393">
        <v>21.608490655000001</v>
      </c>
      <c r="K393" t="s">
        <v>23</v>
      </c>
      <c r="L393" t="str">
        <f t="shared" si="6"/>
        <v>Other Digital</v>
      </c>
    </row>
    <row r="394" spans="1:13" x14ac:dyDescent="0.3">
      <c r="A394">
        <v>392</v>
      </c>
      <c r="B394">
        <v>392</v>
      </c>
      <c r="C394">
        <v>2017</v>
      </c>
      <c r="D394" t="s">
        <v>28</v>
      </c>
      <c r="F394">
        <v>4299.6085047300003</v>
      </c>
      <c r="G394">
        <v>4.2996085047300001</v>
      </c>
      <c r="I394">
        <v>4299.6085047300003</v>
      </c>
      <c r="K394" t="s">
        <v>29</v>
      </c>
      <c r="L394" t="s">
        <v>29</v>
      </c>
      <c r="M394" t="s">
        <v>28</v>
      </c>
    </row>
    <row r="395" spans="1:13" x14ac:dyDescent="0.3">
      <c r="A395">
        <v>393</v>
      </c>
      <c r="B395">
        <v>393</v>
      </c>
      <c r="C395">
        <v>2017</v>
      </c>
      <c r="D395" t="s">
        <v>30</v>
      </c>
      <c r="E395">
        <v>14.262869941</v>
      </c>
      <c r="F395">
        <v>45.448222190000003</v>
      </c>
      <c r="G395">
        <v>4.5448222189999998E-2</v>
      </c>
      <c r="H395">
        <v>3.1864710523198898</v>
      </c>
      <c r="I395">
        <v>45.448222190000003</v>
      </c>
      <c r="J395">
        <v>14.262869941</v>
      </c>
      <c r="K395" t="s">
        <v>23</v>
      </c>
      <c r="L395" t="str">
        <f t="shared" si="6"/>
        <v>Ringtones &amp; Ringbacks</v>
      </c>
    </row>
    <row r="396" spans="1:13" x14ac:dyDescent="0.3">
      <c r="A396">
        <v>394</v>
      </c>
      <c r="B396">
        <v>394</v>
      </c>
      <c r="C396">
        <v>2017</v>
      </c>
      <c r="D396" t="s">
        <v>21</v>
      </c>
      <c r="E396">
        <v>3.2749E-2</v>
      </c>
      <c r="F396">
        <v>1.0885163920000001</v>
      </c>
      <c r="G396">
        <v>1.088516392E-3</v>
      </c>
      <c r="H396">
        <v>33.238156646004398</v>
      </c>
      <c r="I396">
        <v>1.0885163920000001</v>
      </c>
      <c r="J396">
        <v>3.2749E-2</v>
      </c>
      <c r="K396" t="s">
        <v>11</v>
      </c>
      <c r="L396" t="str">
        <f t="shared" si="6"/>
        <v>SACD</v>
      </c>
    </row>
    <row r="397" spans="1:13" x14ac:dyDescent="0.3">
      <c r="A397">
        <v>395</v>
      </c>
      <c r="B397">
        <v>395</v>
      </c>
      <c r="C397">
        <v>2017</v>
      </c>
      <c r="D397" t="s">
        <v>25</v>
      </c>
      <c r="F397">
        <v>834.38816906</v>
      </c>
      <c r="G397">
        <v>0.83438816906000002</v>
      </c>
      <c r="I397">
        <v>834.38816906</v>
      </c>
      <c r="K397" t="s">
        <v>23</v>
      </c>
      <c r="L397" t="str">
        <f t="shared" si="6"/>
        <v>SoundExchange Distributions</v>
      </c>
    </row>
    <row r="398" spans="1:13" x14ac:dyDescent="0.3">
      <c r="A398">
        <v>396</v>
      </c>
      <c r="B398">
        <v>396</v>
      </c>
      <c r="C398">
        <v>2017</v>
      </c>
      <c r="D398" t="s">
        <v>31</v>
      </c>
      <c r="F398">
        <v>297.009584211</v>
      </c>
      <c r="G398">
        <v>0.29700958421099999</v>
      </c>
      <c r="I398">
        <v>297.009584211</v>
      </c>
      <c r="K398" t="s">
        <v>23</v>
      </c>
      <c r="L398" t="str">
        <f t="shared" si="6"/>
        <v>Synchronization</v>
      </c>
    </row>
    <row r="399" spans="1:13" x14ac:dyDescent="0.3">
      <c r="A399">
        <v>397</v>
      </c>
      <c r="B399">
        <v>397</v>
      </c>
      <c r="C399">
        <v>2017</v>
      </c>
      <c r="D399" t="s">
        <v>15</v>
      </c>
      <c r="E399">
        <v>0.40295936500000001</v>
      </c>
      <c r="F399">
        <v>7.7787313239999998</v>
      </c>
      <c r="G399">
        <v>7.7787313240000001E-3</v>
      </c>
      <c r="H399">
        <v>19.304009286395399</v>
      </c>
      <c r="I399">
        <v>7.7787313239999998</v>
      </c>
      <c r="J399">
        <v>0.40295936500000001</v>
      </c>
      <c r="K399" t="s">
        <v>11</v>
      </c>
      <c r="L399" t="str">
        <f t="shared" si="6"/>
        <v>Vinyl Single</v>
      </c>
    </row>
    <row r="400" spans="1:13" x14ac:dyDescent="0.3">
      <c r="A400">
        <v>398</v>
      </c>
      <c r="B400">
        <v>398</v>
      </c>
      <c r="C400">
        <v>2018</v>
      </c>
      <c r="D400" t="s">
        <v>16</v>
      </c>
      <c r="E400">
        <v>51.781960712999997</v>
      </c>
      <c r="F400">
        <v>869.22732406199998</v>
      </c>
      <c r="G400">
        <v>0.86922732406199998</v>
      </c>
      <c r="H400">
        <v>16.786296078660801</v>
      </c>
      <c r="I400">
        <v>869.22732406199998</v>
      </c>
      <c r="J400">
        <v>51.781960712999997</v>
      </c>
      <c r="K400" t="s">
        <v>11</v>
      </c>
      <c r="L400" t="str">
        <f t="shared" si="6"/>
        <v>CD</v>
      </c>
    </row>
    <row r="401" spans="1:13" x14ac:dyDescent="0.3">
      <c r="A401">
        <v>399</v>
      </c>
      <c r="B401">
        <v>399</v>
      </c>
      <c r="C401">
        <v>2018</v>
      </c>
      <c r="D401" t="s">
        <v>18</v>
      </c>
      <c r="E401">
        <v>2.0760000000000002E-3</v>
      </c>
      <c r="F401">
        <v>1.9742926000000001E-2</v>
      </c>
      <c r="G401" s="1">
        <v>1.9742926000000001E-5</v>
      </c>
      <c r="H401">
        <v>9.5100799614643492</v>
      </c>
      <c r="I401">
        <v>1.9742926000000001E-2</v>
      </c>
      <c r="J401">
        <v>2.0760000000000002E-3</v>
      </c>
      <c r="K401" t="s">
        <v>11</v>
      </c>
      <c r="L401" t="str">
        <f t="shared" si="6"/>
        <v>CD Single</v>
      </c>
    </row>
    <row r="402" spans="1:13" x14ac:dyDescent="0.3">
      <c r="A402">
        <v>400</v>
      </c>
      <c r="B402">
        <v>400</v>
      </c>
      <c r="C402">
        <v>2018</v>
      </c>
      <c r="D402" t="s">
        <v>20</v>
      </c>
      <c r="E402">
        <v>9.1999999999999998E-3</v>
      </c>
      <c r="F402">
        <v>0.41082876699999998</v>
      </c>
      <c r="G402">
        <v>4.1082876699999999E-4</v>
      </c>
      <c r="H402">
        <v>44.655300760869501</v>
      </c>
      <c r="I402">
        <v>0.41082876699999998</v>
      </c>
      <c r="J402">
        <v>9.1999999999999998E-3</v>
      </c>
      <c r="K402" t="s">
        <v>11</v>
      </c>
      <c r="L402" t="str">
        <f t="shared" si="6"/>
        <v>DVD Audio</v>
      </c>
    </row>
    <row r="403" spans="1:13" x14ac:dyDescent="0.3">
      <c r="A403">
        <v>401</v>
      </c>
      <c r="B403">
        <v>401</v>
      </c>
      <c r="C403">
        <v>2018</v>
      </c>
      <c r="D403" t="s">
        <v>22</v>
      </c>
      <c r="E403">
        <v>49.297698210999997</v>
      </c>
      <c r="F403">
        <v>618.68881410400002</v>
      </c>
      <c r="G403">
        <v>0.61868881410400001</v>
      </c>
      <c r="H403">
        <v>12.550054800853699</v>
      </c>
      <c r="I403">
        <v>618.68881410400002</v>
      </c>
      <c r="J403">
        <v>49.297698210999997</v>
      </c>
      <c r="K403" t="s">
        <v>23</v>
      </c>
      <c r="L403" t="str">
        <f t="shared" si="6"/>
        <v>Download Album</v>
      </c>
    </row>
    <row r="404" spans="1:13" x14ac:dyDescent="0.3">
      <c r="A404">
        <v>402</v>
      </c>
      <c r="B404">
        <v>402</v>
      </c>
      <c r="C404">
        <v>2018</v>
      </c>
      <c r="D404" t="s">
        <v>26</v>
      </c>
      <c r="E404">
        <v>1.1159852260000001</v>
      </c>
      <c r="F404">
        <v>2.7742908659999999</v>
      </c>
      <c r="G404">
        <v>2.774290866E-3</v>
      </c>
      <c r="H404">
        <v>2.4859566250207599</v>
      </c>
      <c r="I404">
        <v>2.7742908659999999</v>
      </c>
      <c r="J404">
        <v>1.1159852260000001</v>
      </c>
      <c r="K404" t="s">
        <v>23</v>
      </c>
      <c r="L404" t="str">
        <f t="shared" si="6"/>
        <v>Download Music Video</v>
      </c>
    </row>
    <row r="405" spans="1:13" x14ac:dyDescent="0.3">
      <c r="A405">
        <v>403</v>
      </c>
      <c r="B405">
        <v>403</v>
      </c>
      <c r="C405">
        <v>2018</v>
      </c>
      <c r="D405" t="s">
        <v>24</v>
      </c>
      <c r="E405">
        <v>399.313889582</v>
      </c>
      <c r="F405">
        <v>611.95285180300004</v>
      </c>
      <c r="G405">
        <v>0.61195285180299996</v>
      </c>
      <c r="H405">
        <v>1.5325108085861701</v>
      </c>
      <c r="I405">
        <v>611.95285180300004</v>
      </c>
      <c r="J405">
        <v>399.313889582</v>
      </c>
      <c r="K405" t="s">
        <v>23</v>
      </c>
      <c r="L405" t="str">
        <f t="shared" si="6"/>
        <v>Download Single</v>
      </c>
    </row>
    <row r="406" spans="1:13" x14ac:dyDescent="0.3">
      <c r="A406">
        <v>404</v>
      </c>
      <c r="B406">
        <v>404</v>
      </c>
      <c r="C406">
        <v>2018</v>
      </c>
      <c r="D406" t="s">
        <v>27</v>
      </c>
      <c r="E406">
        <v>1.097856529</v>
      </c>
      <c r="F406">
        <v>2.4547832270000001</v>
      </c>
      <c r="G406">
        <v>2.4547832269999998E-3</v>
      </c>
      <c r="H406">
        <v>2.2359781648663799</v>
      </c>
      <c r="I406">
        <v>2.4547832270000001</v>
      </c>
      <c r="J406">
        <v>1.097856529</v>
      </c>
      <c r="K406" t="s">
        <v>23</v>
      </c>
      <c r="L406" t="str">
        <f t="shared" si="6"/>
        <v>Kiosk</v>
      </c>
    </row>
    <row r="407" spans="1:13" x14ac:dyDescent="0.3">
      <c r="A407">
        <v>405</v>
      </c>
      <c r="B407">
        <v>405</v>
      </c>
      <c r="C407">
        <v>2018</v>
      </c>
      <c r="D407" t="s">
        <v>13</v>
      </c>
      <c r="E407">
        <v>16.670127325999999</v>
      </c>
      <c r="F407">
        <v>523.70479794799996</v>
      </c>
      <c r="G407">
        <v>0.52370479794799996</v>
      </c>
      <c r="H407">
        <v>31.415764721316201</v>
      </c>
      <c r="I407">
        <v>523.70479794799996</v>
      </c>
      <c r="J407">
        <v>16.670127325999999</v>
      </c>
      <c r="K407" t="s">
        <v>11</v>
      </c>
      <c r="L407" t="str">
        <f t="shared" si="6"/>
        <v>LP/EP</v>
      </c>
    </row>
    <row r="408" spans="1:13" x14ac:dyDescent="0.3">
      <c r="A408">
        <v>406</v>
      </c>
      <c r="B408">
        <v>406</v>
      </c>
      <c r="C408">
        <v>2018</v>
      </c>
      <c r="D408" t="s">
        <v>33</v>
      </c>
      <c r="F408">
        <v>925.067271248</v>
      </c>
      <c r="G408">
        <v>0.92506727124800003</v>
      </c>
      <c r="I408">
        <v>925.067271248</v>
      </c>
      <c r="K408" t="s">
        <v>29</v>
      </c>
      <c r="L408" t="s">
        <v>29</v>
      </c>
      <c r="M408" t="s">
        <v>28</v>
      </c>
    </row>
    <row r="409" spans="1:13" x14ac:dyDescent="0.3">
      <c r="A409">
        <v>407</v>
      </c>
      <c r="B409">
        <v>407</v>
      </c>
      <c r="C409">
        <v>2018</v>
      </c>
      <c r="D409" t="s">
        <v>19</v>
      </c>
      <c r="E409">
        <v>1.4367134669999999</v>
      </c>
      <c r="F409">
        <v>35.497105544999997</v>
      </c>
      <c r="G409">
        <v>3.5497105544999998E-2</v>
      </c>
      <c r="H409">
        <v>24.707157244876001</v>
      </c>
      <c r="I409">
        <v>35.497105544999997</v>
      </c>
      <c r="J409">
        <v>1.4367134669999999</v>
      </c>
      <c r="K409" t="s">
        <v>11</v>
      </c>
      <c r="L409" t="str">
        <f t="shared" si="6"/>
        <v>Music Video (Physical)</v>
      </c>
    </row>
    <row r="410" spans="1:13" x14ac:dyDescent="0.3">
      <c r="A410">
        <v>408</v>
      </c>
      <c r="B410">
        <v>408</v>
      </c>
      <c r="C410">
        <v>2018</v>
      </c>
      <c r="D410" t="s">
        <v>32</v>
      </c>
      <c r="F410">
        <v>940.27751938500001</v>
      </c>
      <c r="G410">
        <v>0.94027751938500004</v>
      </c>
      <c r="I410">
        <v>940.27751938500001</v>
      </c>
      <c r="K410" t="s">
        <v>29</v>
      </c>
      <c r="L410" t="s">
        <v>29</v>
      </c>
      <c r="M410" t="s">
        <v>45</v>
      </c>
    </row>
    <row r="411" spans="1:13" x14ac:dyDescent="0.3">
      <c r="A411">
        <v>409</v>
      </c>
      <c r="B411">
        <v>409</v>
      </c>
      <c r="C411">
        <v>2018</v>
      </c>
      <c r="D411" t="s">
        <v>34</v>
      </c>
      <c r="F411">
        <v>260.059608475</v>
      </c>
      <c r="G411">
        <v>0.26005960847499998</v>
      </c>
      <c r="I411">
        <v>260.059608475</v>
      </c>
      <c r="K411" t="s">
        <v>29</v>
      </c>
      <c r="L411" t="s">
        <v>29</v>
      </c>
      <c r="M411" t="s">
        <v>45</v>
      </c>
    </row>
    <row r="412" spans="1:13" x14ac:dyDescent="0.3">
      <c r="A412">
        <v>410</v>
      </c>
      <c r="B412">
        <v>410</v>
      </c>
      <c r="C412">
        <v>2018</v>
      </c>
      <c r="D412" t="s">
        <v>35</v>
      </c>
      <c r="F412">
        <v>24.784081685</v>
      </c>
      <c r="G412">
        <v>2.4784081685000001E-2</v>
      </c>
      <c r="I412">
        <v>24.784081685</v>
      </c>
      <c r="K412" t="s">
        <v>23</v>
      </c>
      <c r="L412" t="str">
        <f t="shared" si="6"/>
        <v>Other Digital</v>
      </c>
    </row>
    <row r="413" spans="1:13" x14ac:dyDescent="0.3">
      <c r="A413">
        <v>411</v>
      </c>
      <c r="B413">
        <v>411</v>
      </c>
      <c r="C413">
        <v>2018</v>
      </c>
      <c r="D413" t="s">
        <v>28</v>
      </c>
      <c r="F413">
        <v>5763.9446530269997</v>
      </c>
      <c r="G413">
        <v>5.763944653027</v>
      </c>
      <c r="I413">
        <v>5763.9446530269997</v>
      </c>
      <c r="K413" t="s">
        <v>29</v>
      </c>
      <c r="L413" t="s">
        <v>29</v>
      </c>
      <c r="M413" t="s">
        <v>28</v>
      </c>
    </row>
    <row r="414" spans="1:13" x14ac:dyDescent="0.3">
      <c r="A414">
        <v>412</v>
      </c>
      <c r="B414">
        <v>412</v>
      </c>
      <c r="C414">
        <v>2018</v>
      </c>
      <c r="D414" t="s">
        <v>30</v>
      </c>
      <c r="E414">
        <v>10.026286725</v>
      </c>
      <c r="F414">
        <v>31.177968285999999</v>
      </c>
      <c r="G414">
        <v>3.1177968285999998E-2</v>
      </c>
      <c r="H414">
        <v>3.10962264905704</v>
      </c>
      <c r="I414">
        <v>31.177968285999999</v>
      </c>
      <c r="J414">
        <v>10.026286725</v>
      </c>
      <c r="K414" t="s">
        <v>23</v>
      </c>
      <c r="L414" t="str">
        <f t="shared" si="6"/>
        <v>Ringtones &amp; Ringbacks</v>
      </c>
    </row>
    <row r="415" spans="1:13" x14ac:dyDescent="0.3">
      <c r="A415">
        <v>413</v>
      </c>
      <c r="B415">
        <v>413</v>
      </c>
      <c r="C415">
        <v>2018</v>
      </c>
      <c r="D415" t="s">
        <v>21</v>
      </c>
      <c r="E415">
        <v>3.2804E-2</v>
      </c>
      <c r="F415">
        <v>1.0739578839999999</v>
      </c>
      <c r="G415">
        <v>1.0739578839999899E-3</v>
      </c>
      <c r="H415">
        <v>32.7386258992805</v>
      </c>
      <c r="I415">
        <v>1.0739578839999999</v>
      </c>
      <c r="J415">
        <v>3.2804E-2</v>
      </c>
      <c r="K415" t="s">
        <v>11</v>
      </c>
      <c r="L415" t="str">
        <f t="shared" si="6"/>
        <v>SACD</v>
      </c>
    </row>
    <row r="416" spans="1:13" x14ac:dyDescent="0.3">
      <c r="A416">
        <v>414</v>
      </c>
      <c r="B416">
        <v>414</v>
      </c>
      <c r="C416">
        <v>2018</v>
      </c>
      <c r="D416" t="s">
        <v>25</v>
      </c>
      <c r="F416">
        <v>1190.261040911</v>
      </c>
      <c r="G416">
        <v>1.1902610409109999</v>
      </c>
      <c r="I416">
        <v>1190.261040911</v>
      </c>
      <c r="K416" t="s">
        <v>23</v>
      </c>
      <c r="L416" t="str">
        <f t="shared" si="6"/>
        <v>SoundExchange Distributions</v>
      </c>
    </row>
    <row r="417" spans="1:13" x14ac:dyDescent="0.3">
      <c r="A417">
        <v>415</v>
      </c>
      <c r="B417">
        <v>415</v>
      </c>
      <c r="C417">
        <v>2018</v>
      </c>
      <c r="D417" t="s">
        <v>31</v>
      </c>
      <c r="F417">
        <v>356.67042967700002</v>
      </c>
      <c r="G417">
        <v>0.35667042967700002</v>
      </c>
      <c r="I417">
        <v>356.67042967700002</v>
      </c>
      <c r="K417" t="s">
        <v>23</v>
      </c>
      <c r="L417" t="str">
        <f t="shared" si="6"/>
        <v>Synchronization</v>
      </c>
    </row>
    <row r="418" spans="1:13" x14ac:dyDescent="0.3">
      <c r="A418">
        <v>416</v>
      </c>
      <c r="B418">
        <v>416</v>
      </c>
      <c r="C418">
        <v>2018</v>
      </c>
      <c r="D418" t="s">
        <v>15</v>
      </c>
      <c r="E418">
        <v>0.36799533299999998</v>
      </c>
      <c r="F418">
        <v>7.1463143929999999</v>
      </c>
      <c r="G418">
        <v>7.1463143929999997E-3</v>
      </c>
      <c r="H418">
        <v>19.419578870039601</v>
      </c>
      <c r="I418">
        <v>7.1463143929999999</v>
      </c>
      <c r="J418">
        <v>0.36799533299999998</v>
      </c>
      <c r="K418" t="s">
        <v>11</v>
      </c>
      <c r="L418" t="str">
        <f t="shared" si="6"/>
        <v>Vinyl Single</v>
      </c>
    </row>
    <row r="419" spans="1:13" x14ac:dyDescent="0.3">
      <c r="A419">
        <v>417</v>
      </c>
      <c r="B419">
        <v>417</v>
      </c>
      <c r="C419">
        <v>2019</v>
      </c>
      <c r="D419" t="s">
        <v>16</v>
      </c>
      <c r="E419">
        <v>47.960408598000001</v>
      </c>
      <c r="F419">
        <v>781.16979160699998</v>
      </c>
      <c r="G419">
        <v>0.78116979160699995</v>
      </c>
      <c r="H419">
        <v>16.287805180199701</v>
      </c>
      <c r="I419">
        <v>781.16979160699998</v>
      </c>
      <c r="J419">
        <v>47.960408598000001</v>
      </c>
      <c r="K419" t="s">
        <v>11</v>
      </c>
      <c r="L419" t="str">
        <f t="shared" si="6"/>
        <v>CD</v>
      </c>
    </row>
    <row r="420" spans="1:13" x14ac:dyDescent="0.3">
      <c r="A420">
        <v>418</v>
      </c>
      <c r="B420">
        <v>418</v>
      </c>
      <c r="C420">
        <v>2019</v>
      </c>
      <c r="D420" t="s">
        <v>18</v>
      </c>
      <c r="E420">
        <v>9.0506670000000001E-3</v>
      </c>
      <c r="F420">
        <v>7.6758961000000001E-2</v>
      </c>
      <c r="G420" s="1">
        <v>7.6758960999999995E-5</v>
      </c>
      <c r="H420">
        <v>8.4810280833445706</v>
      </c>
      <c r="I420">
        <v>7.6758961000000001E-2</v>
      </c>
      <c r="J420">
        <v>9.0506670000000001E-3</v>
      </c>
      <c r="K420" t="s">
        <v>11</v>
      </c>
      <c r="L420" t="str">
        <f t="shared" si="6"/>
        <v>CD Single</v>
      </c>
    </row>
    <row r="421" spans="1:13" x14ac:dyDescent="0.3">
      <c r="A421">
        <v>419</v>
      </c>
      <c r="B421">
        <v>419</v>
      </c>
      <c r="C421">
        <v>2019</v>
      </c>
      <c r="D421" t="s">
        <v>20</v>
      </c>
      <c r="E421">
        <v>5.3336000000000001E-2</v>
      </c>
      <c r="F421">
        <v>1.57015635</v>
      </c>
      <c r="G421">
        <v>1.57015635E-3</v>
      </c>
      <c r="H421">
        <v>29.438959614519199</v>
      </c>
      <c r="I421">
        <v>1.57015635</v>
      </c>
      <c r="J421">
        <v>5.3336000000000001E-2</v>
      </c>
      <c r="K421" t="s">
        <v>11</v>
      </c>
      <c r="L421" t="str">
        <f t="shared" si="6"/>
        <v>DVD Audio</v>
      </c>
    </row>
    <row r="422" spans="1:13" x14ac:dyDescent="0.3">
      <c r="A422">
        <v>420</v>
      </c>
      <c r="B422">
        <v>420</v>
      </c>
      <c r="C422">
        <v>2019</v>
      </c>
      <c r="D422" t="s">
        <v>22</v>
      </c>
      <c r="E422">
        <v>37.462013818999999</v>
      </c>
      <c r="F422">
        <v>452.157198446</v>
      </c>
      <c r="G422">
        <v>0.452157198446</v>
      </c>
      <c r="H422">
        <v>12.0697515256554</v>
      </c>
      <c r="I422">
        <v>452.157198446</v>
      </c>
      <c r="J422">
        <v>37.462013818999999</v>
      </c>
      <c r="K422" t="s">
        <v>23</v>
      </c>
      <c r="L422" t="str">
        <f t="shared" si="6"/>
        <v>Download Album</v>
      </c>
    </row>
    <row r="423" spans="1:13" x14ac:dyDescent="0.3">
      <c r="A423">
        <v>421</v>
      </c>
      <c r="B423">
        <v>421</v>
      </c>
      <c r="C423">
        <v>2019</v>
      </c>
      <c r="D423" t="s">
        <v>26</v>
      </c>
      <c r="E423">
        <v>0.93217183000000003</v>
      </c>
      <c r="F423">
        <v>2.2760964019999999</v>
      </c>
      <c r="G423">
        <v>2.2760964019999902E-3</v>
      </c>
      <c r="H423">
        <v>2.4417133502092598</v>
      </c>
      <c r="I423">
        <v>2.2760964019999999</v>
      </c>
      <c r="J423">
        <v>0.93217183000000003</v>
      </c>
      <c r="K423" t="s">
        <v>23</v>
      </c>
      <c r="L423" t="str">
        <f t="shared" si="6"/>
        <v>Download Music Video</v>
      </c>
    </row>
    <row r="424" spans="1:13" x14ac:dyDescent="0.3">
      <c r="A424">
        <v>422</v>
      </c>
      <c r="B424">
        <v>422</v>
      </c>
      <c r="C424">
        <v>2019</v>
      </c>
      <c r="D424" t="s">
        <v>24</v>
      </c>
      <c r="E424">
        <v>325.30965685000001</v>
      </c>
      <c r="F424">
        <v>494.44072307900001</v>
      </c>
      <c r="G424">
        <v>0.494440723079</v>
      </c>
      <c r="H424">
        <v>1.5199079174799399</v>
      </c>
      <c r="I424">
        <v>494.44072307900001</v>
      </c>
      <c r="J424">
        <v>325.30965685000001</v>
      </c>
      <c r="K424" t="s">
        <v>23</v>
      </c>
      <c r="L424" t="str">
        <f t="shared" si="6"/>
        <v>Download Single</v>
      </c>
    </row>
    <row r="425" spans="1:13" x14ac:dyDescent="0.3">
      <c r="A425">
        <v>423</v>
      </c>
      <c r="B425">
        <v>423</v>
      </c>
      <c r="C425">
        <v>2019</v>
      </c>
      <c r="D425" t="s">
        <v>27</v>
      </c>
      <c r="E425">
        <v>0.89970386499999999</v>
      </c>
      <c r="F425">
        <v>1.9465861369999999</v>
      </c>
      <c r="G425">
        <v>1.946586137E-3</v>
      </c>
      <c r="H425">
        <v>2.1635853892880599</v>
      </c>
      <c r="I425">
        <v>1.9465861369999999</v>
      </c>
      <c r="J425">
        <v>0.89970386499999999</v>
      </c>
      <c r="K425" t="s">
        <v>23</v>
      </c>
      <c r="L425" t="str">
        <f t="shared" si="6"/>
        <v>Kiosk</v>
      </c>
    </row>
    <row r="426" spans="1:13" x14ac:dyDescent="0.3">
      <c r="A426">
        <v>424</v>
      </c>
      <c r="B426">
        <v>424</v>
      </c>
      <c r="C426">
        <v>2019</v>
      </c>
      <c r="D426" t="s">
        <v>13</v>
      </c>
      <c r="E426">
        <v>19.805784999</v>
      </c>
      <c r="F426">
        <v>632.48028503800003</v>
      </c>
      <c r="G426">
        <v>0.63248028503800002</v>
      </c>
      <c r="H426">
        <v>31.934118494668802</v>
      </c>
      <c r="I426">
        <v>632.48028503800003</v>
      </c>
      <c r="J426">
        <v>19.805784999</v>
      </c>
      <c r="K426" t="s">
        <v>11</v>
      </c>
      <c r="L426" t="str">
        <f t="shared" si="6"/>
        <v>LP/EP</v>
      </c>
    </row>
    <row r="427" spans="1:13" x14ac:dyDescent="0.3">
      <c r="A427">
        <v>425</v>
      </c>
      <c r="B427">
        <v>425</v>
      </c>
      <c r="C427">
        <v>2019</v>
      </c>
      <c r="D427" t="s">
        <v>33</v>
      </c>
      <c r="F427">
        <v>778.05955762600001</v>
      </c>
      <c r="G427">
        <v>0.77805955762599999</v>
      </c>
      <c r="I427">
        <v>778.05955762600001</v>
      </c>
      <c r="K427" t="s">
        <v>29</v>
      </c>
      <c r="L427" t="s">
        <v>29</v>
      </c>
      <c r="M427" t="s">
        <v>28</v>
      </c>
    </row>
    <row r="428" spans="1:13" x14ac:dyDescent="0.3">
      <c r="A428">
        <v>426</v>
      </c>
      <c r="B428">
        <v>426</v>
      </c>
      <c r="C428">
        <v>2019</v>
      </c>
      <c r="D428" t="s">
        <v>19</v>
      </c>
      <c r="E428">
        <v>1.296883934</v>
      </c>
      <c r="F428">
        <v>32.609016402000002</v>
      </c>
      <c r="G428">
        <v>3.2609016402E-2</v>
      </c>
      <c r="H428">
        <v>25.144128589382301</v>
      </c>
      <c r="I428">
        <v>32.609016402000002</v>
      </c>
      <c r="J428">
        <v>1.296883934</v>
      </c>
      <c r="K428" t="s">
        <v>11</v>
      </c>
      <c r="L428" t="str">
        <f t="shared" si="6"/>
        <v>Music Video (Physical)</v>
      </c>
    </row>
    <row r="429" spans="1:13" x14ac:dyDescent="0.3">
      <c r="A429">
        <v>427</v>
      </c>
      <c r="B429">
        <v>427</v>
      </c>
      <c r="C429">
        <v>2019</v>
      </c>
      <c r="D429" t="s">
        <v>32</v>
      </c>
      <c r="F429">
        <v>1235.08285804</v>
      </c>
      <c r="G429">
        <v>1.23508285804</v>
      </c>
      <c r="I429">
        <v>1235.08285804</v>
      </c>
      <c r="K429" t="s">
        <v>29</v>
      </c>
      <c r="L429" t="s">
        <v>29</v>
      </c>
      <c r="M429" t="s">
        <v>45</v>
      </c>
    </row>
    <row r="430" spans="1:13" x14ac:dyDescent="0.3">
      <c r="A430">
        <v>428</v>
      </c>
      <c r="B430">
        <v>428</v>
      </c>
      <c r="C430">
        <v>2019</v>
      </c>
      <c r="D430" t="s">
        <v>34</v>
      </c>
      <c r="F430">
        <v>254.35467633900001</v>
      </c>
      <c r="G430">
        <v>0.254354676339</v>
      </c>
      <c r="I430">
        <v>254.35467633900001</v>
      </c>
      <c r="K430" t="s">
        <v>29</v>
      </c>
      <c r="L430" t="s">
        <v>29</v>
      </c>
      <c r="M430" t="s">
        <v>45</v>
      </c>
    </row>
    <row r="431" spans="1:13" x14ac:dyDescent="0.3">
      <c r="A431">
        <v>429</v>
      </c>
      <c r="B431">
        <v>429</v>
      </c>
      <c r="C431">
        <v>2019</v>
      </c>
      <c r="D431" t="s">
        <v>35</v>
      </c>
      <c r="F431">
        <v>26.395601116999998</v>
      </c>
      <c r="G431">
        <v>2.6395601116999901E-2</v>
      </c>
      <c r="I431">
        <v>26.395601116999998</v>
      </c>
      <c r="K431" t="s">
        <v>23</v>
      </c>
      <c r="L431" t="str">
        <f t="shared" si="6"/>
        <v>Other Digital</v>
      </c>
    </row>
    <row r="432" spans="1:13" x14ac:dyDescent="0.3">
      <c r="A432">
        <v>430</v>
      </c>
      <c r="B432">
        <v>430</v>
      </c>
      <c r="C432">
        <v>2019</v>
      </c>
      <c r="D432" t="s">
        <v>28</v>
      </c>
      <c r="F432">
        <v>7453.4653669059999</v>
      </c>
      <c r="G432">
        <v>7.4534653669060003</v>
      </c>
      <c r="I432">
        <v>7453.4653669059999</v>
      </c>
      <c r="K432" t="s">
        <v>29</v>
      </c>
      <c r="L432" t="s">
        <v>29</v>
      </c>
      <c r="M432" t="s">
        <v>28</v>
      </c>
    </row>
    <row r="433" spans="1:13" x14ac:dyDescent="0.3">
      <c r="A433">
        <v>431</v>
      </c>
      <c r="B433">
        <v>431</v>
      </c>
      <c r="C433">
        <v>2019</v>
      </c>
      <c r="D433" t="s">
        <v>30</v>
      </c>
      <c r="E433">
        <v>8.2903404890000001</v>
      </c>
      <c r="F433">
        <v>25.326724641999999</v>
      </c>
      <c r="G433">
        <v>2.5326724642E-2</v>
      </c>
      <c r="H433">
        <v>3.0549679685176501</v>
      </c>
      <c r="I433">
        <v>25.326724641999999</v>
      </c>
      <c r="J433">
        <v>8.2903404890000001</v>
      </c>
      <c r="K433" t="s">
        <v>23</v>
      </c>
      <c r="L433" t="str">
        <f t="shared" si="6"/>
        <v>Ringtones &amp; Ringbacks</v>
      </c>
    </row>
    <row r="434" spans="1:13" x14ac:dyDescent="0.3">
      <c r="A434">
        <v>432</v>
      </c>
      <c r="B434">
        <v>432</v>
      </c>
      <c r="C434">
        <v>2019</v>
      </c>
      <c r="D434" t="s">
        <v>21</v>
      </c>
      <c r="E434">
        <v>1.7654E-2</v>
      </c>
      <c r="F434">
        <v>0.53165828699999995</v>
      </c>
      <c r="G434">
        <v>5.31658287E-4</v>
      </c>
      <c r="H434">
        <v>30.115457516709998</v>
      </c>
      <c r="I434">
        <v>0.53165828699999995</v>
      </c>
      <c r="J434">
        <v>1.7654E-2</v>
      </c>
      <c r="K434" t="s">
        <v>11</v>
      </c>
      <c r="L434" t="str">
        <f t="shared" si="6"/>
        <v>SACD</v>
      </c>
    </row>
    <row r="435" spans="1:13" x14ac:dyDescent="0.3">
      <c r="A435">
        <v>433</v>
      </c>
      <c r="B435">
        <v>433</v>
      </c>
      <c r="C435">
        <v>2019</v>
      </c>
      <c r="D435" t="s">
        <v>25</v>
      </c>
      <c r="F435">
        <v>1114.353801382</v>
      </c>
      <c r="G435">
        <v>1.114353801382</v>
      </c>
      <c r="I435">
        <v>1114.353801382</v>
      </c>
      <c r="K435" t="s">
        <v>23</v>
      </c>
      <c r="L435" t="str">
        <f t="shared" si="6"/>
        <v>SoundExchange Distributions</v>
      </c>
    </row>
    <row r="436" spans="1:13" x14ac:dyDescent="0.3">
      <c r="A436">
        <v>434</v>
      </c>
      <c r="B436">
        <v>434</v>
      </c>
      <c r="C436">
        <v>2019</v>
      </c>
      <c r="D436" t="s">
        <v>31</v>
      </c>
      <c r="F436">
        <v>344.92297479699999</v>
      </c>
      <c r="G436">
        <v>0.34492297479700001</v>
      </c>
      <c r="I436">
        <v>344.92297479699999</v>
      </c>
      <c r="K436" t="s">
        <v>23</v>
      </c>
      <c r="L436" t="str">
        <f t="shared" si="6"/>
        <v>Synchronization</v>
      </c>
    </row>
    <row r="437" spans="1:13" x14ac:dyDescent="0.3">
      <c r="A437">
        <v>435</v>
      </c>
      <c r="B437">
        <v>435</v>
      </c>
      <c r="C437">
        <v>2019</v>
      </c>
      <c r="D437" t="s">
        <v>15</v>
      </c>
      <c r="E437">
        <v>0.33267833299999999</v>
      </c>
      <c r="F437">
        <v>8.2556213080000003</v>
      </c>
      <c r="G437">
        <v>8.2556213079999999E-3</v>
      </c>
      <c r="H437">
        <v>24.815626655193</v>
      </c>
      <c r="I437">
        <v>8.2556213080000003</v>
      </c>
      <c r="J437">
        <v>0.33267833299999999</v>
      </c>
      <c r="K437" t="s">
        <v>11</v>
      </c>
      <c r="L437" t="str">
        <f t="shared" si="6"/>
        <v>Vinyl Single</v>
      </c>
    </row>
    <row r="438" spans="1:13" x14ac:dyDescent="0.3">
      <c r="A438">
        <v>436</v>
      </c>
      <c r="B438">
        <v>436</v>
      </c>
      <c r="C438">
        <v>2020</v>
      </c>
      <c r="D438" t="s">
        <v>16</v>
      </c>
      <c r="E438">
        <v>30.990884989000001</v>
      </c>
      <c r="F438">
        <v>574.34494415699999</v>
      </c>
      <c r="G438">
        <v>0.57434494415699999</v>
      </c>
      <c r="H438">
        <v>18.532705482946302</v>
      </c>
      <c r="I438">
        <v>574.34494415699999</v>
      </c>
      <c r="J438">
        <v>30.990884989000001</v>
      </c>
      <c r="K438" t="s">
        <v>11</v>
      </c>
      <c r="L438" t="str">
        <f t="shared" si="6"/>
        <v>CD</v>
      </c>
    </row>
    <row r="439" spans="1:13" x14ac:dyDescent="0.3">
      <c r="A439">
        <v>437</v>
      </c>
      <c r="B439">
        <v>437</v>
      </c>
      <c r="C439">
        <v>2020</v>
      </c>
      <c r="D439" t="s">
        <v>18</v>
      </c>
      <c r="E439">
        <v>3.4233332999999998E-2</v>
      </c>
      <c r="F439">
        <v>0.448883439</v>
      </c>
      <c r="G439">
        <v>4.48883439E-4</v>
      </c>
      <c r="H439">
        <v>13.1124667002187</v>
      </c>
      <c r="I439">
        <v>0.448883439</v>
      </c>
      <c r="J439">
        <v>3.4233332999999998E-2</v>
      </c>
      <c r="K439" t="s">
        <v>11</v>
      </c>
      <c r="L439" t="str">
        <f t="shared" si="6"/>
        <v>CD Single</v>
      </c>
    </row>
    <row r="440" spans="1:13" x14ac:dyDescent="0.3">
      <c r="A440">
        <v>438</v>
      </c>
      <c r="B440">
        <v>438</v>
      </c>
      <c r="C440">
        <v>2020</v>
      </c>
      <c r="D440" t="s">
        <v>20</v>
      </c>
      <c r="E440">
        <v>8.3246000000000001E-2</v>
      </c>
      <c r="F440">
        <v>2.2346908980000002</v>
      </c>
      <c r="G440">
        <v>2.234690898E-3</v>
      </c>
      <c r="H440">
        <v>26.844423732071199</v>
      </c>
      <c r="I440">
        <v>2.2346908980000002</v>
      </c>
      <c r="J440">
        <v>8.3246000000000001E-2</v>
      </c>
      <c r="K440" t="s">
        <v>11</v>
      </c>
      <c r="L440" t="str">
        <f t="shared" si="6"/>
        <v>DVD Audio</v>
      </c>
    </row>
    <row r="441" spans="1:13" x14ac:dyDescent="0.3">
      <c r="A441">
        <v>439</v>
      </c>
      <c r="B441">
        <v>439</v>
      </c>
      <c r="C441">
        <v>2020</v>
      </c>
      <c r="D441" t="s">
        <v>22</v>
      </c>
      <c r="E441">
        <v>33.070586333999998</v>
      </c>
      <c r="F441">
        <v>386.97114225899998</v>
      </c>
      <c r="G441">
        <v>0.38697114225899998</v>
      </c>
      <c r="H441">
        <v>11.701369257585601</v>
      </c>
      <c r="I441">
        <v>386.97114225899998</v>
      </c>
      <c r="J441">
        <v>33.070586333999998</v>
      </c>
      <c r="K441" t="s">
        <v>23</v>
      </c>
      <c r="L441" t="str">
        <f t="shared" si="6"/>
        <v>Download Album</v>
      </c>
    </row>
    <row r="442" spans="1:13" x14ac:dyDescent="0.3">
      <c r="A442">
        <v>440</v>
      </c>
      <c r="B442">
        <v>440</v>
      </c>
      <c r="C442">
        <v>2020</v>
      </c>
      <c r="D442" t="s">
        <v>26</v>
      </c>
      <c r="E442">
        <v>0.90162083699999995</v>
      </c>
      <c r="F442">
        <v>2.1746710610000002</v>
      </c>
      <c r="G442">
        <v>2.1746710610000002E-3</v>
      </c>
      <c r="H442">
        <v>2.4119574124261201</v>
      </c>
      <c r="I442">
        <v>2.1746710610000002</v>
      </c>
      <c r="J442">
        <v>0.90162083699999995</v>
      </c>
      <c r="K442" t="s">
        <v>23</v>
      </c>
      <c r="L442" t="str">
        <f t="shared" si="6"/>
        <v>Download Music Video</v>
      </c>
    </row>
    <row r="443" spans="1:13" x14ac:dyDescent="0.3">
      <c r="A443">
        <v>441</v>
      </c>
      <c r="B443">
        <v>441</v>
      </c>
      <c r="C443">
        <v>2020</v>
      </c>
      <c r="D443" t="s">
        <v>24</v>
      </c>
      <c r="E443">
        <v>255.158662015</v>
      </c>
      <c r="F443">
        <v>376.20076229300003</v>
      </c>
      <c r="G443">
        <v>0.37620076229299998</v>
      </c>
      <c r="H443">
        <v>1.47437974208723</v>
      </c>
      <c r="I443">
        <v>376.20076229300003</v>
      </c>
      <c r="J443">
        <v>255.158662015</v>
      </c>
      <c r="K443" t="s">
        <v>23</v>
      </c>
      <c r="L443" t="str">
        <f t="shared" si="6"/>
        <v>Download Single</v>
      </c>
    </row>
    <row r="444" spans="1:13" x14ac:dyDescent="0.3">
      <c r="A444">
        <v>442</v>
      </c>
      <c r="B444">
        <v>442</v>
      </c>
      <c r="C444">
        <v>2020</v>
      </c>
      <c r="D444" t="s">
        <v>27</v>
      </c>
      <c r="E444">
        <v>0.69716509000000004</v>
      </c>
      <c r="F444">
        <v>1.426429607</v>
      </c>
      <c r="G444">
        <v>1.4264296070000001E-3</v>
      </c>
      <c r="H444">
        <v>2.0460427916721899</v>
      </c>
      <c r="I444">
        <v>1.426429607</v>
      </c>
      <c r="J444">
        <v>0.69716509000000004</v>
      </c>
      <c r="K444" t="s">
        <v>23</v>
      </c>
      <c r="L444" t="str">
        <f t="shared" si="6"/>
        <v>Kiosk</v>
      </c>
    </row>
    <row r="445" spans="1:13" x14ac:dyDescent="0.3">
      <c r="A445">
        <v>443</v>
      </c>
      <c r="B445">
        <v>443</v>
      </c>
      <c r="C445">
        <v>2020</v>
      </c>
      <c r="D445" t="s">
        <v>13</v>
      </c>
      <c r="E445">
        <v>25.581562947999998</v>
      </c>
      <c r="F445">
        <v>844.01744064599995</v>
      </c>
      <c r="G445">
        <v>0.84401744064599904</v>
      </c>
      <c r="H445">
        <v>32.993192885112002</v>
      </c>
      <c r="I445">
        <v>844.01744064599995</v>
      </c>
      <c r="J445">
        <v>25.581562947999998</v>
      </c>
      <c r="K445" t="s">
        <v>11</v>
      </c>
      <c r="L445" t="str">
        <f t="shared" si="6"/>
        <v>LP/EP</v>
      </c>
    </row>
    <row r="446" spans="1:13" x14ac:dyDescent="0.3">
      <c r="A446">
        <v>444</v>
      </c>
      <c r="B446">
        <v>444</v>
      </c>
      <c r="C446">
        <v>2020</v>
      </c>
      <c r="D446" t="s">
        <v>33</v>
      </c>
      <c r="F446">
        <v>870.07992108500002</v>
      </c>
      <c r="G446">
        <v>0.87007992108499999</v>
      </c>
      <c r="I446">
        <v>870.07992108500002</v>
      </c>
      <c r="K446" t="s">
        <v>29</v>
      </c>
      <c r="L446" t="s">
        <v>29</v>
      </c>
      <c r="M446" t="s">
        <v>28</v>
      </c>
    </row>
    <row r="447" spans="1:13" x14ac:dyDescent="0.3">
      <c r="A447">
        <v>445</v>
      </c>
      <c r="B447">
        <v>445</v>
      </c>
      <c r="C447">
        <v>2020</v>
      </c>
      <c r="D447" t="s">
        <v>19</v>
      </c>
      <c r="E447">
        <v>1.000631276</v>
      </c>
      <c r="F447">
        <v>33.242135761</v>
      </c>
      <c r="G447">
        <v>3.3242135760999998E-2</v>
      </c>
      <c r="H447">
        <v>33.221164037450997</v>
      </c>
      <c r="I447">
        <v>33.242135761</v>
      </c>
      <c r="J447">
        <v>1.000631276</v>
      </c>
      <c r="K447" t="s">
        <v>11</v>
      </c>
      <c r="L447" t="str">
        <f t="shared" si="6"/>
        <v>Music Video (Physical)</v>
      </c>
    </row>
    <row r="448" spans="1:13" x14ac:dyDescent="0.3">
      <c r="A448">
        <v>446</v>
      </c>
      <c r="B448">
        <v>446</v>
      </c>
      <c r="C448">
        <v>2020</v>
      </c>
      <c r="D448" t="s">
        <v>32</v>
      </c>
      <c r="F448">
        <v>1450.3237317769999</v>
      </c>
      <c r="G448">
        <v>1.4503237317769999</v>
      </c>
      <c r="I448">
        <v>1450.3237317769999</v>
      </c>
      <c r="K448" t="s">
        <v>29</v>
      </c>
      <c r="L448" t="s">
        <v>29</v>
      </c>
      <c r="M448" t="s">
        <v>45</v>
      </c>
    </row>
    <row r="449" spans="1:13" x14ac:dyDescent="0.3">
      <c r="A449">
        <v>447</v>
      </c>
      <c r="B449">
        <v>447</v>
      </c>
      <c r="C449">
        <v>2020</v>
      </c>
      <c r="D449" t="s">
        <v>34</v>
      </c>
      <c r="F449">
        <v>256.04032685700003</v>
      </c>
      <c r="G449">
        <v>0.25604032685700001</v>
      </c>
      <c r="I449">
        <v>256.04032685700003</v>
      </c>
      <c r="K449" t="s">
        <v>29</v>
      </c>
      <c r="L449" t="s">
        <v>29</v>
      </c>
      <c r="M449" t="s">
        <v>45</v>
      </c>
    </row>
    <row r="450" spans="1:13" x14ac:dyDescent="0.3">
      <c r="A450">
        <v>448</v>
      </c>
      <c r="B450">
        <v>448</v>
      </c>
      <c r="C450">
        <v>2020</v>
      </c>
      <c r="D450" t="s">
        <v>35</v>
      </c>
      <c r="F450">
        <v>22.895735116000001</v>
      </c>
      <c r="G450">
        <v>2.2895735116000002E-2</v>
      </c>
      <c r="I450">
        <v>22.895735116000001</v>
      </c>
      <c r="K450" t="s">
        <v>23</v>
      </c>
      <c r="L450" t="str">
        <f t="shared" si="6"/>
        <v>Other Digital</v>
      </c>
    </row>
    <row r="451" spans="1:13" x14ac:dyDescent="0.3">
      <c r="A451">
        <v>449</v>
      </c>
      <c r="B451">
        <v>449</v>
      </c>
      <c r="C451">
        <v>2020</v>
      </c>
      <c r="D451" t="s">
        <v>28</v>
      </c>
      <c r="F451">
        <v>8426.2397011009998</v>
      </c>
      <c r="G451">
        <v>8.4262397011010002</v>
      </c>
      <c r="I451">
        <v>8426.2397011009998</v>
      </c>
      <c r="K451" t="s">
        <v>29</v>
      </c>
      <c r="L451" t="s">
        <v>29</v>
      </c>
      <c r="M451" t="s">
        <v>28</v>
      </c>
    </row>
    <row r="452" spans="1:13" x14ac:dyDescent="0.3">
      <c r="A452">
        <v>450</v>
      </c>
      <c r="B452">
        <v>450</v>
      </c>
      <c r="C452">
        <v>2020</v>
      </c>
      <c r="D452" t="s">
        <v>30</v>
      </c>
      <c r="E452">
        <v>8.1283922969999995</v>
      </c>
      <c r="F452">
        <v>24.531190200000001</v>
      </c>
      <c r="G452">
        <v>2.4531190200000001E-2</v>
      </c>
      <c r="H452">
        <v>3.0179633688514098</v>
      </c>
      <c r="I452">
        <v>24.531190200000001</v>
      </c>
      <c r="J452">
        <v>8.1283922969999995</v>
      </c>
      <c r="K452" t="s">
        <v>23</v>
      </c>
      <c r="L452" t="str">
        <f t="shared" ref="L451:L514" si="7">D452</f>
        <v>Ringtones &amp; Ringbacks</v>
      </c>
    </row>
    <row r="453" spans="1:13" x14ac:dyDescent="0.3">
      <c r="A453">
        <v>451</v>
      </c>
      <c r="B453">
        <v>451</v>
      </c>
      <c r="C453">
        <v>2020</v>
      </c>
      <c r="D453" t="s">
        <v>21</v>
      </c>
      <c r="E453">
        <v>1.1387E-2</v>
      </c>
      <c r="F453">
        <v>0.28685622599999999</v>
      </c>
      <c r="G453">
        <v>2.8685622600000001E-4</v>
      </c>
      <c r="H453">
        <v>25.1915540528673</v>
      </c>
      <c r="I453">
        <v>0.28685622599999999</v>
      </c>
      <c r="J453">
        <v>1.1387E-2</v>
      </c>
      <c r="K453" t="s">
        <v>11</v>
      </c>
      <c r="L453" t="str">
        <f t="shared" si="7"/>
        <v>SACD</v>
      </c>
    </row>
    <row r="454" spans="1:13" x14ac:dyDescent="0.3">
      <c r="A454">
        <v>452</v>
      </c>
      <c r="B454">
        <v>452</v>
      </c>
      <c r="C454">
        <v>2020</v>
      </c>
      <c r="D454" t="s">
        <v>25</v>
      </c>
      <c r="F454">
        <v>1148.2856547829999</v>
      </c>
      <c r="G454">
        <v>1.148285654783</v>
      </c>
      <c r="I454">
        <v>1148.2856547829999</v>
      </c>
      <c r="K454" t="s">
        <v>23</v>
      </c>
      <c r="L454" t="str">
        <f t="shared" si="7"/>
        <v>SoundExchange Distributions</v>
      </c>
    </row>
    <row r="455" spans="1:13" x14ac:dyDescent="0.3">
      <c r="A455">
        <v>453</v>
      </c>
      <c r="B455">
        <v>453</v>
      </c>
      <c r="C455">
        <v>2020</v>
      </c>
      <c r="D455" t="s">
        <v>31</v>
      </c>
      <c r="F455">
        <v>321.47643103399997</v>
      </c>
      <c r="G455">
        <v>0.32147643103399998</v>
      </c>
      <c r="I455">
        <v>321.47643103399997</v>
      </c>
      <c r="K455" t="s">
        <v>23</v>
      </c>
      <c r="L455" t="str">
        <f t="shared" si="7"/>
        <v>Synchronization</v>
      </c>
    </row>
    <row r="456" spans="1:13" x14ac:dyDescent="0.3">
      <c r="A456">
        <v>454</v>
      </c>
      <c r="B456">
        <v>454</v>
      </c>
      <c r="C456">
        <v>2020</v>
      </c>
      <c r="D456" t="s">
        <v>15</v>
      </c>
      <c r="E456">
        <v>0.383001333</v>
      </c>
      <c r="F456">
        <v>7.6567164449999998</v>
      </c>
      <c r="G456">
        <v>7.65671644499999E-3</v>
      </c>
      <c r="H456">
        <v>19.991357171072799</v>
      </c>
      <c r="I456">
        <v>7.6567164449999998</v>
      </c>
      <c r="J456">
        <v>0.383001333</v>
      </c>
      <c r="K456" t="s">
        <v>11</v>
      </c>
      <c r="L456" t="str">
        <f t="shared" si="7"/>
        <v>Vinyl Single</v>
      </c>
    </row>
    <row r="457" spans="1:13" x14ac:dyDescent="0.3">
      <c r="A457">
        <v>455</v>
      </c>
      <c r="B457">
        <v>455</v>
      </c>
      <c r="C457">
        <v>2021</v>
      </c>
      <c r="D457" t="s">
        <v>16</v>
      </c>
      <c r="E457">
        <v>44.946287624999997</v>
      </c>
      <c r="F457">
        <v>678.17343097800006</v>
      </c>
      <c r="G457">
        <v>0.67817343097799998</v>
      </c>
      <c r="H457">
        <v>15.0885304841236</v>
      </c>
      <c r="I457">
        <v>678.17343097800006</v>
      </c>
      <c r="J457">
        <v>44.946287624999997</v>
      </c>
      <c r="K457" t="s">
        <v>11</v>
      </c>
      <c r="L457" t="str">
        <f t="shared" si="7"/>
        <v>CD</v>
      </c>
    </row>
    <row r="458" spans="1:13" x14ac:dyDescent="0.3">
      <c r="A458">
        <v>456</v>
      </c>
      <c r="B458">
        <v>456</v>
      </c>
      <c r="C458">
        <v>2021</v>
      </c>
      <c r="D458" t="s">
        <v>18</v>
      </c>
      <c r="E458">
        <v>1.6920000000000001E-2</v>
      </c>
      <c r="F458">
        <v>0.12586175599999999</v>
      </c>
      <c r="G458">
        <v>1.2586175599999999E-4</v>
      </c>
      <c r="H458">
        <v>7.4386380614657197</v>
      </c>
      <c r="I458">
        <v>0.12586175599999999</v>
      </c>
      <c r="J458">
        <v>1.6920000000000001E-2</v>
      </c>
      <c r="K458" t="s">
        <v>11</v>
      </c>
      <c r="L458" t="str">
        <f t="shared" si="7"/>
        <v>CD Single</v>
      </c>
    </row>
    <row r="459" spans="1:13" x14ac:dyDescent="0.3">
      <c r="A459">
        <v>457</v>
      </c>
      <c r="B459">
        <v>457</v>
      </c>
      <c r="C459">
        <v>2021</v>
      </c>
      <c r="D459" t="s">
        <v>20</v>
      </c>
      <c r="E459">
        <v>0.289925457</v>
      </c>
      <c r="F459">
        <v>6.6664891109999997</v>
      </c>
      <c r="G459">
        <v>6.6664891110000003E-3</v>
      </c>
      <c r="H459">
        <v>22.993803924572202</v>
      </c>
      <c r="I459">
        <v>6.6664891109999997</v>
      </c>
      <c r="J459">
        <v>0.289925457</v>
      </c>
      <c r="K459" t="s">
        <v>11</v>
      </c>
      <c r="L459" t="str">
        <f t="shared" si="7"/>
        <v>DVD Audio</v>
      </c>
    </row>
    <row r="460" spans="1:13" x14ac:dyDescent="0.3">
      <c r="A460">
        <v>458</v>
      </c>
      <c r="B460">
        <v>458</v>
      </c>
      <c r="C460">
        <v>2021</v>
      </c>
      <c r="D460" t="s">
        <v>22</v>
      </c>
      <c r="E460">
        <v>31.083015714999998</v>
      </c>
      <c r="F460">
        <v>351.08505782899999</v>
      </c>
      <c r="G460">
        <v>0.35108505782900001</v>
      </c>
      <c r="H460">
        <v>11.2950770622804</v>
      </c>
      <c r="I460">
        <v>351.08505782899999</v>
      </c>
      <c r="J460">
        <v>31.083015714999998</v>
      </c>
      <c r="K460" t="s">
        <v>23</v>
      </c>
      <c r="L460" t="str">
        <f t="shared" si="7"/>
        <v>Download Album</v>
      </c>
    </row>
    <row r="461" spans="1:13" x14ac:dyDescent="0.3">
      <c r="A461">
        <v>459</v>
      </c>
      <c r="B461">
        <v>459</v>
      </c>
      <c r="C461">
        <v>2021</v>
      </c>
      <c r="D461" t="s">
        <v>26</v>
      </c>
      <c r="E461">
        <v>0.96081700000000003</v>
      </c>
      <c r="F461">
        <v>2.2134607910000001</v>
      </c>
      <c r="G461">
        <v>2.2134607909999999E-3</v>
      </c>
      <c r="H461">
        <v>2.3037277556496099</v>
      </c>
      <c r="I461">
        <v>2.2134607910000001</v>
      </c>
      <c r="J461">
        <v>0.96081700000000003</v>
      </c>
      <c r="K461" t="s">
        <v>23</v>
      </c>
      <c r="L461" t="str">
        <f t="shared" si="7"/>
        <v>Download Music Video</v>
      </c>
    </row>
    <row r="462" spans="1:13" x14ac:dyDescent="0.3">
      <c r="A462">
        <v>460</v>
      </c>
      <c r="B462">
        <v>460</v>
      </c>
      <c r="C462">
        <v>2021</v>
      </c>
      <c r="D462" t="s">
        <v>24</v>
      </c>
      <c r="E462">
        <v>219.39981445399999</v>
      </c>
      <c r="F462">
        <v>311.28450064200001</v>
      </c>
      <c r="G462">
        <v>0.31128450064199997</v>
      </c>
      <c r="H462">
        <v>1.4188002000669999</v>
      </c>
      <c r="I462">
        <v>311.28450064200001</v>
      </c>
      <c r="J462">
        <v>219.39981445399999</v>
      </c>
      <c r="K462" t="s">
        <v>23</v>
      </c>
      <c r="L462" t="str">
        <f t="shared" si="7"/>
        <v>Download Single</v>
      </c>
    </row>
    <row r="463" spans="1:13" x14ac:dyDescent="0.3">
      <c r="A463">
        <v>461</v>
      </c>
      <c r="B463">
        <v>461</v>
      </c>
      <c r="C463">
        <v>2021</v>
      </c>
      <c r="D463" t="s">
        <v>27</v>
      </c>
      <c r="E463">
        <v>0.50087800000000005</v>
      </c>
      <c r="F463">
        <v>0.86876088100000004</v>
      </c>
      <c r="G463">
        <v>8.6876088100000005E-4</v>
      </c>
      <c r="H463">
        <v>1.73447602210518</v>
      </c>
      <c r="I463">
        <v>0.86876088100000004</v>
      </c>
      <c r="J463">
        <v>0.50087800000000005</v>
      </c>
      <c r="K463" t="s">
        <v>23</v>
      </c>
      <c r="L463" t="str">
        <f t="shared" si="7"/>
        <v>Kiosk</v>
      </c>
    </row>
    <row r="464" spans="1:13" x14ac:dyDescent="0.3">
      <c r="A464">
        <v>462</v>
      </c>
      <c r="B464">
        <v>462</v>
      </c>
      <c r="C464">
        <v>2021</v>
      </c>
      <c r="D464" t="s">
        <v>13</v>
      </c>
      <c r="E464">
        <v>36.744163465</v>
      </c>
      <c r="F464">
        <v>1257.5209529270001</v>
      </c>
      <c r="G464">
        <v>1.2575209529269999</v>
      </c>
      <c r="H464">
        <v>34.223692536226302</v>
      </c>
      <c r="I464">
        <v>1257.5209529270001</v>
      </c>
      <c r="J464">
        <v>36.744163465</v>
      </c>
      <c r="K464" t="s">
        <v>11</v>
      </c>
      <c r="L464" t="str">
        <f t="shared" si="7"/>
        <v>LP/EP</v>
      </c>
    </row>
    <row r="465" spans="1:13" x14ac:dyDescent="0.3">
      <c r="A465">
        <v>463</v>
      </c>
      <c r="B465">
        <v>463</v>
      </c>
      <c r="C465">
        <v>2021</v>
      </c>
      <c r="D465" t="s">
        <v>33</v>
      </c>
      <c r="F465">
        <v>1038.4528723179999</v>
      </c>
      <c r="G465">
        <v>1.038452872318</v>
      </c>
      <c r="I465">
        <v>1038.4528723179999</v>
      </c>
      <c r="K465" t="s">
        <v>29</v>
      </c>
      <c r="L465" t="s">
        <v>29</v>
      </c>
      <c r="M465" t="s">
        <v>28</v>
      </c>
    </row>
    <row r="466" spans="1:13" x14ac:dyDescent="0.3">
      <c r="A466">
        <v>464</v>
      </c>
      <c r="B466">
        <v>464</v>
      </c>
      <c r="C466">
        <v>2021</v>
      </c>
      <c r="D466" t="s">
        <v>19</v>
      </c>
      <c r="E466">
        <v>1.3114353329999999</v>
      </c>
      <c r="F466">
        <v>23.036499451000001</v>
      </c>
      <c r="G466">
        <v>2.3036499451E-2</v>
      </c>
      <c r="H466">
        <v>17.565867619490099</v>
      </c>
      <c r="I466">
        <v>23.036499451000001</v>
      </c>
      <c r="J466">
        <v>1.3114353329999999</v>
      </c>
      <c r="K466" t="s">
        <v>11</v>
      </c>
      <c r="L466" t="str">
        <f t="shared" si="7"/>
        <v>Music Video (Physical)</v>
      </c>
    </row>
    <row r="467" spans="1:13" x14ac:dyDescent="0.3">
      <c r="A467">
        <v>465</v>
      </c>
      <c r="B467">
        <v>465</v>
      </c>
      <c r="C467">
        <v>2021</v>
      </c>
      <c r="D467" t="s">
        <v>32</v>
      </c>
      <c r="F467">
        <v>2006.6803758359999</v>
      </c>
      <c r="G467">
        <v>2.0066803758359999</v>
      </c>
      <c r="I467">
        <v>2006.6803758359999</v>
      </c>
      <c r="K467" t="s">
        <v>29</v>
      </c>
      <c r="L467" t="s">
        <v>29</v>
      </c>
      <c r="M467" t="s">
        <v>45</v>
      </c>
    </row>
    <row r="468" spans="1:13" x14ac:dyDescent="0.3">
      <c r="A468">
        <v>466</v>
      </c>
      <c r="B468">
        <v>466</v>
      </c>
      <c r="C468">
        <v>2021</v>
      </c>
      <c r="D468" t="s">
        <v>34</v>
      </c>
      <c r="F468">
        <v>235.58109197600001</v>
      </c>
      <c r="G468">
        <v>0.235581091976</v>
      </c>
      <c r="I468">
        <v>235.58109197600001</v>
      </c>
      <c r="K468" t="s">
        <v>29</v>
      </c>
      <c r="L468" t="s">
        <v>29</v>
      </c>
      <c r="M468" t="s">
        <v>45</v>
      </c>
    </row>
    <row r="469" spans="1:13" x14ac:dyDescent="0.3">
      <c r="A469">
        <v>467</v>
      </c>
      <c r="B469">
        <v>467</v>
      </c>
      <c r="C469">
        <v>2021</v>
      </c>
      <c r="D469" t="s">
        <v>35</v>
      </c>
      <c r="F469">
        <v>36.007788083000001</v>
      </c>
      <c r="G469">
        <v>3.6007788083000002E-2</v>
      </c>
      <c r="I469">
        <v>36.007788083000001</v>
      </c>
      <c r="K469" t="s">
        <v>23</v>
      </c>
      <c r="L469" t="str">
        <f t="shared" si="7"/>
        <v>Other Digital</v>
      </c>
    </row>
    <row r="470" spans="1:13" x14ac:dyDescent="0.3">
      <c r="A470">
        <v>468</v>
      </c>
      <c r="B470">
        <v>468</v>
      </c>
      <c r="C470">
        <v>2021</v>
      </c>
      <c r="D470" t="s">
        <v>28</v>
      </c>
      <c r="F470">
        <v>9912.7769364640008</v>
      </c>
      <c r="G470">
        <v>9.9127769364640006</v>
      </c>
      <c r="I470">
        <v>9912.7769364640008</v>
      </c>
      <c r="K470" t="s">
        <v>29</v>
      </c>
      <c r="L470" t="s">
        <v>29</v>
      </c>
      <c r="M470" t="s">
        <v>28</v>
      </c>
    </row>
    <row r="471" spans="1:13" x14ac:dyDescent="0.3">
      <c r="A471">
        <v>469</v>
      </c>
      <c r="B471">
        <v>469</v>
      </c>
      <c r="C471">
        <v>2021</v>
      </c>
      <c r="D471" t="s">
        <v>30</v>
      </c>
      <c r="E471">
        <v>6.2907999999999999</v>
      </c>
      <c r="F471">
        <v>18.133569603000002</v>
      </c>
      <c r="G471">
        <v>1.8133569602999999E-2</v>
      </c>
      <c r="H471">
        <v>2.8825538251096798</v>
      </c>
      <c r="I471">
        <v>18.133569603000002</v>
      </c>
      <c r="J471">
        <v>6.2907999999999999</v>
      </c>
      <c r="K471" t="s">
        <v>23</v>
      </c>
      <c r="L471" t="str">
        <f t="shared" si="7"/>
        <v>Ringtones &amp; Ringbacks</v>
      </c>
    </row>
    <row r="472" spans="1:13" x14ac:dyDescent="0.3">
      <c r="A472">
        <v>470</v>
      </c>
      <c r="B472">
        <v>470</v>
      </c>
      <c r="C472">
        <v>2021</v>
      </c>
      <c r="D472" t="s">
        <v>21</v>
      </c>
      <c r="E472">
        <v>1.0251E-2</v>
      </c>
      <c r="F472">
        <v>0.24448108199999999</v>
      </c>
      <c r="G472">
        <v>2.44481082E-4</v>
      </c>
      <c r="H472">
        <v>23.849486098917101</v>
      </c>
      <c r="I472">
        <v>0.24448108199999999</v>
      </c>
      <c r="J472">
        <v>1.0251E-2</v>
      </c>
      <c r="K472" t="s">
        <v>11</v>
      </c>
      <c r="L472" t="str">
        <f t="shared" si="7"/>
        <v>SACD</v>
      </c>
    </row>
    <row r="473" spans="1:13" x14ac:dyDescent="0.3">
      <c r="A473">
        <v>471</v>
      </c>
      <c r="B473">
        <v>471</v>
      </c>
      <c r="C473">
        <v>2021</v>
      </c>
      <c r="D473" t="s">
        <v>25</v>
      </c>
      <c r="F473">
        <v>1148.9697475739999</v>
      </c>
      <c r="G473">
        <v>1.1489697475739999</v>
      </c>
      <c r="I473">
        <v>1148.9697475739999</v>
      </c>
      <c r="K473" t="s">
        <v>23</v>
      </c>
      <c r="L473" t="str">
        <f t="shared" si="7"/>
        <v>SoundExchange Distributions</v>
      </c>
    </row>
    <row r="474" spans="1:13" x14ac:dyDescent="0.3">
      <c r="A474">
        <v>472</v>
      </c>
      <c r="B474">
        <v>472</v>
      </c>
      <c r="C474">
        <v>2021</v>
      </c>
      <c r="D474" t="s">
        <v>31</v>
      </c>
      <c r="F474">
        <v>354.85066582299999</v>
      </c>
      <c r="G474">
        <v>0.35485066582300001</v>
      </c>
      <c r="I474">
        <v>354.85066582299999</v>
      </c>
      <c r="K474" t="s">
        <v>23</v>
      </c>
      <c r="L474" t="str">
        <f t="shared" si="7"/>
        <v>Synchronization</v>
      </c>
    </row>
    <row r="475" spans="1:13" x14ac:dyDescent="0.3">
      <c r="A475">
        <v>473</v>
      </c>
      <c r="B475">
        <v>473</v>
      </c>
      <c r="C475">
        <v>2021</v>
      </c>
      <c r="D475" t="s">
        <v>15</v>
      </c>
      <c r="E475">
        <v>0.47872147100000001</v>
      </c>
      <c r="F475">
        <v>9.1439862099999996</v>
      </c>
      <c r="G475">
        <v>9.1439862099999998E-3</v>
      </c>
      <c r="H475">
        <v>19.100848330239099</v>
      </c>
      <c r="I475">
        <v>9.1439862099999996</v>
      </c>
      <c r="J475">
        <v>0.47872147100000001</v>
      </c>
      <c r="K475" t="s">
        <v>11</v>
      </c>
      <c r="L475" t="str">
        <f t="shared" si="7"/>
        <v>Vinyl Single</v>
      </c>
    </row>
    <row r="476" spans="1:13" x14ac:dyDescent="0.3">
      <c r="A476">
        <v>474</v>
      </c>
      <c r="B476">
        <v>474</v>
      </c>
      <c r="C476">
        <v>2022</v>
      </c>
      <c r="D476" t="s">
        <v>16</v>
      </c>
      <c r="E476">
        <v>37.701479085000003</v>
      </c>
      <c r="F476">
        <v>517.26249783399999</v>
      </c>
      <c r="G476">
        <v>0.51726249783400002</v>
      </c>
      <c r="H476">
        <v>13.7199523835073</v>
      </c>
      <c r="I476">
        <v>517.26249783399999</v>
      </c>
      <c r="J476">
        <v>37.701479085000003</v>
      </c>
      <c r="K476" t="s">
        <v>11</v>
      </c>
      <c r="L476" t="str">
        <f t="shared" si="7"/>
        <v>CD</v>
      </c>
    </row>
    <row r="477" spans="1:13" x14ac:dyDescent="0.3">
      <c r="A477">
        <v>475</v>
      </c>
      <c r="B477">
        <v>475</v>
      </c>
      <c r="C477">
        <v>2022</v>
      </c>
      <c r="D477" t="s">
        <v>18</v>
      </c>
      <c r="E477">
        <v>0.396157333</v>
      </c>
      <c r="F477">
        <v>7.3081860599999997</v>
      </c>
      <c r="G477">
        <v>7.3081860600000001E-3</v>
      </c>
      <c r="H477">
        <v>18.4476859349212</v>
      </c>
      <c r="I477">
        <v>7.3081860599999997</v>
      </c>
      <c r="J477">
        <v>0.396157333</v>
      </c>
      <c r="K477" t="s">
        <v>11</v>
      </c>
      <c r="L477" t="str">
        <f t="shared" si="7"/>
        <v>CD Single</v>
      </c>
    </row>
    <row r="478" spans="1:13" x14ac:dyDescent="0.3">
      <c r="A478">
        <v>476</v>
      </c>
      <c r="B478">
        <v>476</v>
      </c>
      <c r="C478">
        <v>2022</v>
      </c>
      <c r="D478" t="s">
        <v>20</v>
      </c>
      <c r="E478">
        <v>2.3760000000000001E-3</v>
      </c>
      <c r="F478">
        <v>7.8436745000000002E-2</v>
      </c>
      <c r="G478" s="1">
        <v>7.8436744999999997E-5</v>
      </c>
      <c r="H478">
        <v>33.012098063972999</v>
      </c>
      <c r="I478">
        <v>7.8436745000000002E-2</v>
      </c>
      <c r="J478">
        <v>2.3760000000000001E-3</v>
      </c>
      <c r="K478" t="s">
        <v>11</v>
      </c>
      <c r="L478" t="str">
        <f t="shared" si="7"/>
        <v>DVD Audio</v>
      </c>
    </row>
    <row r="479" spans="1:13" x14ac:dyDescent="0.3">
      <c r="A479">
        <v>477</v>
      </c>
      <c r="B479">
        <v>477</v>
      </c>
      <c r="C479">
        <v>2022</v>
      </c>
      <c r="D479" t="s">
        <v>22</v>
      </c>
      <c r="E479">
        <v>24.462240795</v>
      </c>
      <c r="F479">
        <v>259.24820694099998</v>
      </c>
      <c r="G479">
        <v>0.25924820694099998</v>
      </c>
      <c r="H479">
        <v>10.5978928550972</v>
      </c>
      <c r="I479">
        <v>259.24820694099998</v>
      </c>
      <c r="J479">
        <v>24.462240795</v>
      </c>
      <c r="K479" t="s">
        <v>23</v>
      </c>
      <c r="L479" t="str">
        <f t="shared" si="7"/>
        <v>Download Album</v>
      </c>
    </row>
    <row r="480" spans="1:13" x14ac:dyDescent="0.3">
      <c r="A480">
        <v>478</v>
      </c>
      <c r="B480">
        <v>478</v>
      </c>
      <c r="C480">
        <v>2022</v>
      </c>
      <c r="D480" t="s">
        <v>26</v>
      </c>
      <c r="E480">
        <v>0.67483499999999996</v>
      </c>
      <c r="F480">
        <v>1.439441491</v>
      </c>
      <c r="G480">
        <v>1.4394414910000001E-3</v>
      </c>
      <c r="H480">
        <v>2.1330273192706302</v>
      </c>
      <c r="I480">
        <v>1.439441491</v>
      </c>
      <c r="J480">
        <v>0.67483499999999996</v>
      </c>
      <c r="K480" t="s">
        <v>23</v>
      </c>
      <c r="L480" t="str">
        <f t="shared" si="7"/>
        <v>Download Music Video</v>
      </c>
    </row>
    <row r="481" spans="1:13" x14ac:dyDescent="0.3">
      <c r="A481">
        <v>479</v>
      </c>
      <c r="B481">
        <v>479</v>
      </c>
      <c r="C481">
        <v>2022</v>
      </c>
      <c r="D481" t="s">
        <v>24</v>
      </c>
      <c r="E481">
        <v>172.46174731599999</v>
      </c>
      <c r="F481">
        <v>229.53286934600001</v>
      </c>
      <c r="G481">
        <v>0.22953286934600001</v>
      </c>
      <c r="H481">
        <v>1.3309204673974899</v>
      </c>
      <c r="I481">
        <v>229.53286934600001</v>
      </c>
      <c r="J481">
        <v>172.46174731599999</v>
      </c>
      <c r="K481" t="s">
        <v>23</v>
      </c>
      <c r="L481" t="str">
        <f t="shared" si="7"/>
        <v>Download Single</v>
      </c>
    </row>
    <row r="482" spans="1:13" x14ac:dyDescent="0.3">
      <c r="A482">
        <v>480</v>
      </c>
      <c r="B482">
        <v>480</v>
      </c>
      <c r="C482">
        <v>2022</v>
      </c>
      <c r="D482" t="s">
        <v>27</v>
      </c>
      <c r="E482">
        <v>0.29915900000000001</v>
      </c>
      <c r="F482">
        <v>0.42457106999999999</v>
      </c>
      <c r="G482">
        <v>4.2457106999999999E-4</v>
      </c>
      <c r="H482">
        <v>1.41921543393312</v>
      </c>
      <c r="I482">
        <v>0.42457106999999999</v>
      </c>
      <c r="J482">
        <v>0.29915900000000001</v>
      </c>
      <c r="K482" t="s">
        <v>23</v>
      </c>
      <c r="L482" t="str">
        <f t="shared" si="7"/>
        <v>Kiosk</v>
      </c>
    </row>
    <row r="483" spans="1:13" x14ac:dyDescent="0.3">
      <c r="A483">
        <v>481</v>
      </c>
      <c r="B483">
        <v>481</v>
      </c>
      <c r="C483">
        <v>2022</v>
      </c>
      <c r="D483" t="s">
        <v>13</v>
      </c>
      <c r="E483">
        <v>40.544984720999999</v>
      </c>
      <c r="F483">
        <v>1312.3857839699999</v>
      </c>
      <c r="G483">
        <v>1.3123857839699999</v>
      </c>
      <c r="H483">
        <v>32.368634320640297</v>
      </c>
      <c r="I483">
        <v>1312.3857839699999</v>
      </c>
      <c r="J483">
        <v>40.544984720999999</v>
      </c>
      <c r="K483" t="s">
        <v>11</v>
      </c>
      <c r="L483" t="str">
        <f t="shared" si="7"/>
        <v>LP/EP</v>
      </c>
    </row>
    <row r="484" spans="1:13" x14ac:dyDescent="0.3">
      <c r="A484">
        <v>482</v>
      </c>
      <c r="B484">
        <v>482</v>
      </c>
      <c r="C484">
        <v>2022</v>
      </c>
      <c r="D484" t="s">
        <v>33</v>
      </c>
      <c r="F484">
        <v>1139.4139181549999</v>
      </c>
      <c r="G484">
        <v>1.139413918155</v>
      </c>
      <c r="I484">
        <v>1139.4139181549999</v>
      </c>
      <c r="K484" t="s">
        <v>29</v>
      </c>
      <c r="L484" t="s">
        <v>29</v>
      </c>
      <c r="M484" t="s">
        <v>28</v>
      </c>
    </row>
    <row r="485" spans="1:13" x14ac:dyDescent="0.3">
      <c r="A485">
        <v>483</v>
      </c>
      <c r="B485">
        <v>483</v>
      </c>
      <c r="C485">
        <v>2022</v>
      </c>
      <c r="D485" t="s">
        <v>19</v>
      </c>
      <c r="E485">
        <v>0.82985200000000003</v>
      </c>
      <c r="F485">
        <v>12.144307790999999</v>
      </c>
      <c r="G485">
        <v>1.2144307791E-2</v>
      </c>
      <c r="H485">
        <v>14.634305624376299</v>
      </c>
      <c r="I485">
        <v>12.144307790999999</v>
      </c>
      <c r="J485">
        <v>0.82985200000000003</v>
      </c>
      <c r="K485" t="s">
        <v>11</v>
      </c>
      <c r="L485" t="str">
        <f t="shared" si="7"/>
        <v>Music Video (Physical)</v>
      </c>
    </row>
    <row r="486" spans="1:13" x14ac:dyDescent="0.3">
      <c r="A486">
        <v>484</v>
      </c>
      <c r="B486">
        <v>484</v>
      </c>
      <c r="C486">
        <v>2022</v>
      </c>
      <c r="D486" t="s">
        <v>32</v>
      </c>
      <c r="F486">
        <v>1953.0968418949999</v>
      </c>
      <c r="G486">
        <v>1.9530968418949901</v>
      </c>
      <c r="I486">
        <v>1953.0968418949999</v>
      </c>
      <c r="K486" t="s">
        <v>29</v>
      </c>
      <c r="L486" t="s">
        <v>29</v>
      </c>
      <c r="M486" t="s">
        <v>45</v>
      </c>
    </row>
    <row r="487" spans="1:13" x14ac:dyDescent="0.3">
      <c r="A487">
        <v>485</v>
      </c>
      <c r="B487">
        <v>485</v>
      </c>
      <c r="C487">
        <v>2022</v>
      </c>
      <c r="D487" t="s">
        <v>34</v>
      </c>
      <c r="F487">
        <v>280.27633527900002</v>
      </c>
      <c r="G487">
        <v>0.28027633527899998</v>
      </c>
      <c r="I487">
        <v>280.27633527900002</v>
      </c>
      <c r="K487" t="s">
        <v>29</v>
      </c>
      <c r="L487" t="s">
        <v>29</v>
      </c>
      <c r="M487" t="s">
        <v>45</v>
      </c>
    </row>
    <row r="488" spans="1:13" x14ac:dyDescent="0.3">
      <c r="A488">
        <v>486</v>
      </c>
      <c r="B488">
        <v>486</v>
      </c>
      <c r="C488">
        <v>2022</v>
      </c>
      <c r="D488" t="s">
        <v>35</v>
      </c>
      <c r="F488">
        <v>27.777174616</v>
      </c>
      <c r="G488">
        <v>2.7777174615999999E-2</v>
      </c>
      <c r="I488">
        <v>27.777174616</v>
      </c>
      <c r="K488" t="s">
        <v>23</v>
      </c>
      <c r="L488" t="str">
        <f t="shared" si="7"/>
        <v>Other Digital</v>
      </c>
    </row>
    <row r="489" spans="1:13" x14ac:dyDescent="0.3">
      <c r="A489">
        <v>487</v>
      </c>
      <c r="B489">
        <v>487</v>
      </c>
      <c r="C489">
        <v>2022</v>
      </c>
      <c r="D489" t="s">
        <v>28</v>
      </c>
      <c r="F489">
        <v>9838.738526481</v>
      </c>
      <c r="G489">
        <v>9.8387385264810003</v>
      </c>
      <c r="I489">
        <v>9838.738526481</v>
      </c>
      <c r="K489" t="s">
        <v>29</v>
      </c>
      <c r="L489" t="s">
        <v>29</v>
      </c>
      <c r="M489" t="s">
        <v>28</v>
      </c>
    </row>
    <row r="490" spans="1:13" x14ac:dyDescent="0.3">
      <c r="A490">
        <v>488</v>
      </c>
      <c r="B490">
        <v>488</v>
      </c>
      <c r="C490">
        <v>2022</v>
      </c>
      <c r="D490" t="s">
        <v>30</v>
      </c>
      <c r="E490">
        <v>4.4242188889999996</v>
      </c>
      <c r="F490">
        <v>11.808080195000001</v>
      </c>
      <c r="G490">
        <v>1.1808080195000001E-2</v>
      </c>
      <c r="H490">
        <v>2.6689638309620198</v>
      </c>
      <c r="I490">
        <v>11.808080195000001</v>
      </c>
      <c r="J490">
        <v>4.4242188889999996</v>
      </c>
      <c r="K490" t="s">
        <v>23</v>
      </c>
      <c r="L490" t="str">
        <f t="shared" si="7"/>
        <v>Ringtones &amp; Ringbacks</v>
      </c>
    </row>
    <row r="491" spans="1:13" x14ac:dyDescent="0.3">
      <c r="A491">
        <v>489</v>
      </c>
      <c r="B491">
        <v>489</v>
      </c>
      <c r="C491">
        <v>2022</v>
      </c>
      <c r="D491" t="s">
        <v>21</v>
      </c>
      <c r="E491">
        <v>9.7330000000000003E-3</v>
      </c>
      <c r="F491">
        <v>0.20760894199999999</v>
      </c>
      <c r="G491">
        <v>2.07608942E-4</v>
      </c>
      <c r="H491">
        <v>21.3304163156272</v>
      </c>
      <c r="I491">
        <v>0.20760894199999999</v>
      </c>
      <c r="J491">
        <v>9.7330000000000003E-3</v>
      </c>
      <c r="K491" t="s">
        <v>11</v>
      </c>
      <c r="L491" t="str">
        <f t="shared" si="7"/>
        <v>SACD</v>
      </c>
    </row>
    <row r="492" spans="1:13" x14ac:dyDescent="0.3">
      <c r="A492">
        <v>490</v>
      </c>
      <c r="B492">
        <v>490</v>
      </c>
      <c r="C492">
        <v>2022</v>
      </c>
      <c r="D492" t="s">
        <v>25</v>
      </c>
      <c r="F492">
        <v>1028.3549797539999</v>
      </c>
      <c r="G492">
        <v>1.0283549797539999</v>
      </c>
      <c r="I492">
        <v>1028.3549797539999</v>
      </c>
      <c r="K492" t="s">
        <v>23</v>
      </c>
      <c r="L492" t="str">
        <f t="shared" si="7"/>
        <v>SoundExchange Distributions</v>
      </c>
    </row>
    <row r="493" spans="1:13" x14ac:dyDescent="0.3">
      <c r="A493">
        <v>491</v>
      </c>
      <c r="B493">
        <v>491</v>
      </c>
      <c r="C493">
        <v>2022</v>
      </c>
      <c r="D493" t="s">
        <v>31</v>
      </c>
      <c r="F493">
        <v>409.992204711</v>
      </c>
      <c r="G493">
        <v>0.40999220471100001</v>
      </c>
      <c r="I493">
        <v>409.992204711</v>
      </c>
      <c r="K493" t="s">
        <v>23</v>
      </c>
      <c r="L493" t="str">
        <f t="shared" si="7"/>
        <v>Synchronization</v>
      </c>
    </row>
    <row r="494" spans="1:13" x14ac:dyDescent="0.3">
      <c r="A494">
        <v>492</v>
      </c>
      <c r="B494">
        <v>492</v>
      </c>
      <c r="C494">
        <v>2022</v>
      </c>
      <c r="D494" t="s">
        <v>15</v>
      </c>
      <c r="E494">
        <v>0.32080033299999999</v>
      </c>
      <c r="F494">
        <v>6.0182012709999997</v>
      </c>
      <c r="G494">
        <v>6.0182012710000002E-3</v>
      </c>
      <c r="H494">
        <v>18.7599595509148</v>
      </c>
      <c r="I494">
        <v>6.0182012709999997</v>
      </c>
      <c r="J494">
        <v>0.32080033299999999</v>
      </c>
      <c r="K494" t="s">
        <v>11</v>
      </c>
      <c r="L494" t="str">
        <f t="shared" si="7"/>
        <v>Vinyl Single</v>
      </c>
    </row>
    <row r="495" spans="1:13" x14ac:dyDescent="0.3">
      <c r="A495">
        <v>493</v>
      </c>
      <c r="B495">
        <v>493</v>
      </c>
      <c r="C495">
        <v>2023</v>
      </c>
      <c r="D495" t="s">
        <v>16</v>
      </c>
      <c r="E495">
        <v>32.441244744000002</v>
      </c>
      <c r="F495">
        <v>552.930765006</v>
      </c>
      <c r="G495">
        <v>0.55293076500600002</v>
      </c>
      <c r="H495">
        <v>17.0440674939966</v>
      </c>
      <c r="I495">
        <v>552.930765006</v>
      </c>
      <c r="J495">
        <v>32.441244744000002</v>
      </c>
      <c r="K495" t="s">
        <v>11</v>
      </c>
      <c r="L495" t="str">
        <f t="shared" si="7"/>
        <v>CD</v>
      </c>
    </row>
    <row r="496" spans="1:13" x14ac:dyDescent="0.3">
      <c r="A496">
        <v>494</v>
      </c>
      <c r="B496">
        <v>494</v>
      </c>
      <c r="C496">
        <v>2023</v>
      </c>
      <c r="D496" t="s">
        <v>22</v>
      </c>
      <c r="E496">
        <v>20.483589469000002</v>
      </c>
      <c r="F496">
        <v>210.91628494700001</v>
      </c>
      <c r="G496">
        <v>0.21091628494699999</v>
      </c>
      <c r="H496">
        <v>10.296842028893501</v>
      </c>
      <c r="I496">
        <v>210.91628494700001</v>
      </c>
      <c r="J496">
        <v>20.483589469000002</v>
      </c>
      <c r="K496" t="s">
        <v>23</v>
      </c>
      <c r="L496" t="str">
        <f t="shared" si="7"/>
        <v>Download Album</v>
      </c>
    </row>
    <row r="497" spans="1:13" x14ac:dyDescent="0.3">
      <c r="A497">
        <v>495</v>
      </c>
      <c r="B497">
        <v>495</v>
      </c>
      <c r="C497">
        <v>2023</v>
      </c>
      <c r="D497" t="s">
        <v>24</v>
      </c>
      <c r="E497">
        <v>150.667660281</v>
      </c>
      <c r="F497">
        <v>196.41257821100001</v>
      </c>
      <c r="G497">
        <v>0.196412578211</v>
      </c>
      <c r="H497">
        <v>1.3036147096509201</v>
      </c>
      <c r="I497">
        <v>196.41257821100001</v>
      </c>
      <c r="J497">
        <v>150.667660281</v>
      </c>
      <c r="K497" t="s">
        <v>23</v>
      </c>
      <c r="L497" t="str">
        <f t="shared" si="7"/>
        <v>Download Single</v>
      </c>
    </row>
    <row r="498" spans="1:13" x14ac:dyDescent="0.3">
      <c r="A498">
        <v>496</v>
      </c>
      <c r="B498">
        <v>496</v>
      </c>
      <c r="C498">
        <v>2023</v>
      </c>
      <c r="D498" t="s">
        <v>13</v>
      </c>
      <c r="E498">
        <v>43.217545981000001</v>
      </c>
      <c r="F498">
        <v>1389.982072969</v>
      </c>
      <c r="G498">
        <v>1.389982072969</v>
      </c>
      <c r="H498">
        <v>32.162447946028301</v>
      </c>
      <c r="I498">
        <v>1389.982072969</v>
      </c>
      <c r="J498">
        <v>43.217545981000001</v>
      </c>
      <c r="K498" t="s">
        <v>11</v>
      </c>
      <c r="L498" t="str">
        <f t="shared" si="7"/>
        <v>LP/EP</v>
      </c>
    </row>
    <row r="499" spans="1:13" x14ac:dyDescent="0.3">
      <c r="A499">
        <v>497</v>
      </c>
      <c r="B499">
        <v>497</v>
      </c>
      <c r="C499">
        <v>2023</v>
      </c>
      <c r="D499" t="s">
        <v>33</v>
      </c>
      <c r="F499">
        <v>1051.5424898419999</v>
      </c>
      <c r="G499">
        <v>1.0515424898419901</v>
      </c>
      <c r="I499">
        <v>1051.5424898419999</v>
      </c>
      <c r="K499" t="s">
        <v>29</v>
      </c>
      <c r="L499" t="s">
        <v>29</v>
      </c>
      <c r="M499" t="s">
        <v>28</v>
      </c>
    </row>
    <row r="500" spans="1:13" x14ac:dyDescent="0.3">
      <c r="A500">
        <v>498</v>
      </c>
      <c r="B500">
        <v>498</v>
      </c>
      <c r="C500">
        <v>2023</v>
      </c>
      <c r="D500" t="s">
        <v>19</v>
      </c>
      <c r="E500">
        <v>0.61285199999999995</v>
      </c>
      <c r="F500">
        <v>11.003906488</v>
      </c>
      <c r="G500">
        <v>1.1003906488000001E-2</v>
      </c>
      <c r="H500">
        <v>17.9552428449283</v>
      </c>
      <c r="I500">
        <v>11.003906488</v>
      </c>
      <c r="J500">
        <v>0.61285199999999995</v>
      </c>
      <c r="K500" t="s">
        <v>11</v>
      </c>
      <c r="L500" t="str">
        <f t="shared" si="7"/>
        <v>Music Video (Physical)</v>
      </c>
    </row>
    <row r="501" spans="1:13" x14ac:dyDescent="0.3">
      <c r="A501">
        <v>499</v>
      </c>
      <c r="B501">
        <v>499</v>
      </c>
      <c r="C501">
        <v>2023</v>
      </c>
      <c r="D501" t="s">
        <v>32</v>
      </c>
      <c r="F501">
        <v>1919.5277993679999</v>
      </c>
      <c r="G501">
        <v>1.919527799368</v>
      </c>
      <c r="I501">
        <v>1919.5277993679999</v>
      </c>
      <c r="K501" t="s">
        <v>29</v>
      </c>
      <c r="L501" t="s">
        <v>29</v>
      </c>
      <c r="M501" t="s">
        <v>45</v>
      </c>
    </row>
    <row r="502" spans="1:13" x14ac:dyDescent="0.3">
      <c r="A502">
        <v>500</v>
      </c>
      <c r="B502">
        <v>500</v>
      </c>
      <c r="C502">
        <v>2023</v>
      </c>
      <c r="D502" t="s">
        <v>34</v>
      </c>
      <c r="F502">
        <v>327.04745620900002</v>
      </c>
      <c r="G502">
        <v>0.327047456209</v>
      </c>
      <c r="I502">
        <v>327.04745620900002</v>
      </c>
      <c r="K502" t="s">
        <v>29</v>
      </c>
      <c r="L502" t="s">
        <v>29</v>
      </c>
      <c r="M502" t="s">
        <v>45</v>
      </c>
    </row>
    <row r="503" spans="1:13" x14ac:dyDescent="0.3">
      <c r="A503">
        <v>501</v>
      </c>
      <c r="B503">
        <v>501</v>
      </c>
      <c r="C503">
        <v>2023</v>
      </c>
      <c r="D503" t="s">
        <v>35</v>
      </c>
      <c r="F503">
        <v>28.931254766999999</v>
      </c>
      <c r="G503">
        <v>2.8931254766999901E-2</v>
      </c>
      <c r="I503">
        <v>28.931254766999999</v>
      </c>
      <c r="K503" t="s">
        <v>23</v>
      </c>
      <c r="L503" t="str">
        <f t="shared" si="7"/>
        <v>Other Digital</v>
      </c>
    </row>
    <row r="504" spans="1:13" x14ac:dyDescent="0.3">
      <c r="A504">
        <v>502</v>
      </c>
      <c r="B504">
        <v>502</v>
      </c>
      <c r="C504">
        <v>2023</v>
      </c>
      <c r="D504" t="s">
        <v>36</v>
      </c>
      <c r="E504">
        <v>0.45943600000000001</v>
      </c>
      <c r="F504">
        <v>5.8318247699999999</v>
      </c>
      <c r="G504">
        <v>5.8318247699999997E-3</v>
      </c>
      <c r="H504">
        <v>12.6934431999233</v>
      </c>
      <c r="I504">
        <v>5.8318247699999999</v>
      </c>
      <c r="J504">
        <v>0.45943600000000001</v>
      </c>
      <c r="K504" t="s">
        <v>11</v>
      </c>
      <c r="L504" t="str">
        <f t="shared" si="7"/>
        <v>Other Physical</v>
      </c>
    </row>
    <row r="505" spans="1:13" x14ac:dyDescent="0.3">
      <c r="A505">
        <v>503</v>
      </c>
      <c r="B505">
        <v>503</v>
      </c>
      <c r="C505">
        <v>2023</v>
      </c>
      <c r="D505" t="s">
        <v>28</v>
      </c>
      <c r="F505">
        <v>10449.038367970999</v>
      </c>
      <c r="G505">
        <v>10.449038367970999</v>
      </c>
      <c r="I505">
        <v>10449.038367970999</v>
      </c>
      <c r="K505" t="s">
        <v>29</v>
      </c>
      <c r="L505" t="s">
        <v>29</v>
      </c>
      <c r="M505" t="s">
        <v>28</v>
      </c>
    </row>
    <row r="506" spans="1:13" x14ac:dyDescent="0.3">
      <c r="A506">
        <v>504</v>
      </c>
      <c r="B506">
        <v>504</v>
      </c>
      <c r="C506">
        <v>2023</v>
      </c>
      <c r="D506" t="s">
        <v>30</v>
      </c>
      <c r="E506">
        <v>4.0811724060000003</v>
      </c>
      <c r="F506">
        <v>10.845680328</v>
      </c>
      <c r="G506">
        <v>1.0845680328E-2</v>
      </c>
      <c r="H506">
        <v>2.6574913404920202</v>
      </c>
      <c r="I506">
        <v>10.845680328</v>
      </c>
      <c r="J506">
        <v>4.0811724060000003</v>
      </c>
      <c r="K506" t="s">
        <v>23</v>
      </c>
      <c r="L506" t="str">
        <f t="shared" si="7"/>
        <v>Ringtones &amp; Ringbacks</v>
      </c>
    </row>
    <row r="507" spans="1:13" x14ac:dyDescent="0.3">
      <c r="A507">
        <v>505</v>
      </c>
      <c r="B507">
        <v>505</v>
      </c>
      <c r="C507">
        <v>2023</v>
      </c>
      <c r="D507" t="s">
        <v>25</v>
      </c>
      <c r="F507">
        <v>1034.435964319</v>
      </c>
      <c r="G507">
        <v>1.034435964319</v>
      </c>
      <c r="I507">
        <v>1034.435964319</v>
      </c>
      <c r="K507" t="s">
        <v>23</v>
      </c>
      <c r="L507" t="str">
        <f t="shared" si="7"/>
        <v>SoundExchange Distributions</v>
      </c>
    </row>
    <row r="508" spans="1:13" x14ac:dyDescent="0.3">
      <c r="A508">
        <v>506</v>
      </c>
      <c r="B508">
        <v>506</v>
      </c>
      <c r="C508">
        <v>2023</v>
      </c>
      <c r="D508" t="s">
        <v>31</v>
      </c>
      <c r="F508">
        <v>414.33066883499998</v>
      </c>
      <c r="G508">
        <v>0.41433066883499903</v>
      </c>
      <c r="I508">
        <v>414.33066883499998</v>
      </c>
      <c r="K508" t="s">
        <v>23</v>
      </c>
      <c r="L508" t="str">
        <f t="shared" si="7"/>
        <v>Synchronization</v>
      </c>
    </row>
    <row r="509" spans="1:13" x14ac:dyDescent="0.3">
      <c r="A509">
        <v>507</v>
      </c>
      <c r="B509">
        <v>507</v>
      </c>
      <c r="C509">
        <v>2023</v>
      </c>
      <c r="D509" t="s">
        <v>15</v>
      </c>
      <c r="E509">
        <v>0.394688235</v>
      </c>
      <c r="F509">
        <v>8.6152724379999999</v>
      </c>
      <c r="G509">
        <v>8.6152724379999993E-3</v>
      </c>
      <c r="H509">
        <v>21.828044704702101</v>
      </c>
      <c r="I509">
        <v>8.6152724379999999</v>
      </c>
      <c r="J509">
        <v>0.394688235</v>
      </c>
      <c r="K509" t="s">
        <v>11</v>
      </c>
      <c r="L509" t="str">
        <f t="shared" si="7"/>
        <v>Vinyl Single</v>
      </c>
    </row>
    <row r="510" spans="1:13" x14ac:dyDescent="0.3">
      <c r="A510">
        <v>508</v>
      </c>
      <c r="B510">
        <v>508</v>
      </c>
      <c r="C510">
        <v>2024</v>
      </c>
      <c r="D510" t="s">
        <v>16</v>
      </c>
      <c r="E510">
        <v>32.937028845999997</v>
      </c>
      <c r="F510">
        <v>541.10120400300002</v>
      </c>
      <c r="G510">
        <v>0.54110120400299999</v>
      </c>
      <c r="H510">
        <v>16.4283550448028</v>
      </c>
      <c r="I510">
        <v>541.10120400300002</v>
      </c>
      <c r="J510">
        <v>32.937028845999997</v>
      </c>
      <c r="K510" t="s">
        <v>11</v>
      </c>
      <c r="L510" t="str">
        <f t="shared" si="7"/>
        <v>CD</v>
      </c>
    </row>
    <row r="511" spans="1:13" x14ac:dyDescent="0.3">
      <c r="A511">
        <v>509</v>
      </c>
      <c r="B511">
        <v>509</v>
      </c>
      <c r="C511">
        <v>2024</v>
      </c>
      <c r="D511" t="s">
        <v>22</v>
      </c>
      <c r="E511">
        <v>16.849168872</v>
      </c>
      <c r="F511">
        <v>166.69182327199999</v>
      </c>
      <c r="G511">
        <v>0.16669182327199999</v>
      </c>
      <c r="H511">
        <v>9.8931777904492897</v>
      </c>
      <c r="I511">
        <v>166.69182327199999</v>
      </c>
      <c r="J511">
        <v>16.849168872</v>
      </c>
      <c r="K511" t="s">
        <v>23</v>
      </c>
      <c r="L511" t="str">
        <f t="shared" si="7"/>
        <v>Download Album</v>
      </c>
    </row>
    <row r="512" spans="1:13" x14ac:dyDescent="0.3">
      <c r="A512">
        <v>510</v>
      </c>
      <c r="B512">
        <v>510</v>
      </c>
      <c r="C512">
        <v>2024</v>
      </c>
      <c r="D512" t="s">
        <v>24</v>
      </c>
      <c r="E512">
        <v>122.08211057600001</v>
      </c>
      <c r="F512">
        <v>162.37989908899999</v>
      </c>
      <c r="G512">
        <v>0.162379899089</v>
      </c>
      <c r="H512">
        <v>1.33008758058711</v>
      </c>
      <c r="I512">
        <v>162.37989908899999</v>
      </c>
      <c r="J512">
        <v>122.08211057600001</v>
      </c>
      <c r="K512" t="s">
        <v>23</v>
      </c>
      <c r="L512" t="str">
        <f t="shared" si="7"/>
        <v>Download Single</v>
      </c>
    </row>
    <row r="513" spans="1:13" x14ac:dyDescent="0.3">
      <c r="A513">
        <v>511</v>
      </c>
      <c r="B513">
        <v>511</v>
      </c>
      <c r="C513">
        <v>2024</v>
      </c>
      <c r="D513" t="s">
        <v>13</v>
      </c>
      <c r="E513">
        <v>43.634936840000002</v>
      </c>
      <c r="F513">
        <v>1442.9031221339999</v>
      </c>
      <c r="G513">
        <v>1.4429031221339901</v>
      </c>
      <c r="H513">
        <v>33.067611107696003</v>
      </c>
      <c r="I513">
        <v>1442.9031221339999</v>
      </c>
      <c r="J513">
        <v>43.634936840000002</v>
      </c>
      <c r="K513" t="s">
        <v>11</v>
      </c>
      <c r="L513" t="str">
        <f t="shared" si="7"/>
        <v>LP/EP</v>
      </c>
    </row>
    <row r="514" spans="1:13" x14ac:dyDescent="0.3">
      <c r="A514">
        <v>512</v>
      </c>
      <c r="B514">
        <v>512</v>
      </c>
      <c r="C514">
        <v>2024</v>
      </c>
      <c r="D514" t="s">
        <v>33</v>
      </c>
      <c r="F514">
        <v>998.32862002900004</v>
      </c>
      <c r="G514">
        <v>0.99832862002900002</v>
      </c>
      <c r="I514">
        <v>998.32862002900004</v>
      </c>
      <c r="K514" t="s">
        <v>29</v>
      </c>
      <c r="L514" t="s">
        <v>29</v>
      </c>
      <c r="M514" t="s">
        <v>28</v>
      </c>
    </row>
    <row r="515" spans="1:13" x14ac:dyDescent="0.3">
      <c r="A515">
        <v>513</v>
      </c>
      <c r="B515">
        <v>513</v>
      </c>
      <c r="C515">
        <v>2024</v>
      </c>
      <c r="D515" t="s">
        <v>19</v>
      </c>
      <c r="E515">
        <v>0.41342933300000001</v>
      </c>
      <c r="F515">
        <v>8.8578969329999993</v>
      </c>
      <c r="G515">
        <v>8.8578969329999903E-3</v>
      </c>
      <c r="H515">
        <v>21.4254195964368</v>
      </c>
      <c r="I515">
        <v>8.8578969329999993</v>
      </c>
      <c r="J515">
        <v>0.41342933300000001</v>
      </c>
      <c r="K515" t="s">
        <v>11</v>
      </c>
      <c r="L515" t="str">
        <f t="shared" ref="L515:L524" si="8">D515</f>
        <v>Music Video (Physical)</v>
      </c>
    </row>
    <row r="516" spans="1:13" x14ac:dyDescent="0.3">
      <c r="A516">
        <v>514</v>
      </c>
      <c r="B516">
        <v>514</v>
      </c>
      <c r="C516">
        <v>2024</v>
      </c>
      <c r="D516" t="s">
        <v>32</v>
      </c>
      <c r="F516">
        <v>1831.879377215</v>
      </c>
      <c r="G516">
        <v>1.8318793772149999</v>
      </c>
      <c r="I516">
        <v>1831.879377215</v>
      </c>
      <c r="K516" t="s">
        <v>29</v>
      </c>
      <c r="L516" t="s">
        <v>29</v>
      </c>
      <c r="M516" t="s">
        <v>45</v>
      </c>
    </row>
    <row r="517" spans="1:13" x14ac:dyDescent="0.3">
      <c r="A517">
        <v>515</v>
      </c>
      <c r="B517">
        <v>515</v>
      </c>
      <c r="C517">
        <v>2024</v>
      </c>
      <c r="D517" t="s">
        <v>34</v>
      </c>
      <c r="F517">
        <v>306.49236527900001</v>
      </c>
      <c r="G517">
        <v>0.30649236527899998</v>
      </c>
      <c r="I517">
        <v>306.49236527900001</v>
      </c>
      <c r="K517" t="s">
        <v>29</v>
      </c>
      <c r="L517" t="s">
        <v>29</v>
      </c>
      <c r="M517" t="s">
        <v>45</v>
      </c>
    </row>
    <row r="518" spans="1:13" x14ac:dyDescent="0.3">
      <c r="A518">
        <v>516</v>
      </c>
      <c r="B518">
        <v>516</v>
      </c>
      <c r="C518">
        <v>2024</v>
      </c>
      <c r="D518" t="s">
        <v>35</v>
      </c>
      <c r="F518">
        <v>35.091384482999999</v>
      </c>
      <c r="G518">
        <v>3.5091384482999997E-2</v>
      </c>
      <c r="I518">
        <v>35.091384482999999</v>
      </c>
      <c r="K518" t="s">
        <v>23</v>
      </c>
      <c r="L518" t="str">
        <f t="shared" si="8"/>
        <v>Other Digital</v>
      </c>
    </row>
    <row r="519" spans="1:13" x14ac:dyDescent="0.3">
      <c r="A519">
        <v>517</v>
      </c>
      <c r="B519">
        <v>517</v>
      </c>
      <c r="C519">
        <v>2024</v>
      </c>
      <c r="D519" t="s">
        <v>36</v>
      </c>
      <c r="E519">
        <v>1.2076066670000001</v>
      </c>
      <c r="F519">
        <v>12.52022296</v>
      </c>
      <c r="G519">
        <v>1.2520222960000001E-2</v>
      </c>
      <c r="H519">
        <v>10.367798805801</v>
      </c>
      <c r="I519">
        <v>12.52022296</v>
      </c>
      <c r="J519">
        <v>1.2076066670000001</v>
      </c>
      <c r="K519" t="s">
        <v>11</v>
      </c>
      <c r="L519" t="str">
        <f t="shared" si="8"/>
        <v>Other Physical</v>
      </c>
    </row>
    <row r="520" spans="1:13" x14ac:dyDescent="0.3">
      <c r="A520">
        <v>518</v>
      </c>
      <c r="B520">
        <v>518</v>
      </c>
      <c r="C520">
        <v>2024</v>
      </c>
      <c r="D520" t="s">
        <v>28</v>
      </c>
      <c r="F520">
        <v>10686.986036797</v>
      </c>
      <c r="G520">
        <v>10.686986036797</v>
      </c>
      <c r="I520">
        <v>10686.986036797</v>
      </c>
      <c r="K520" t="s">
        <v>29</v>
      </c>
      <c r="L520" t="s">
        <v>29</v>
      </c>
      <c r="M520" t="s">
        <v>28</v>
      </c>
    </row>
    <row r="521" spans="1:13" x14ac:dyDescent="0.3">
      <c r="A521">
        <v>519</v>
      </c>
      <c r="B521">
        <v>519</v>
      </c>
      <c r="C521">
        <v>2024</v>
      </c>
      <c r="D521" t="s">
        <v>30</v>
      </c>
      <c r="E521">
        <v>2.229827378</v>
      </c>
      <c r="F521">
        <v>5.552270171</v>
      </c>
      <c r="G521">
        <v>5.5522701710000004E-3</v>
      </c>
      <c r="H521">
        <v>2.4899999999013298</v>
      </c>
      <c r="I521">
        <v>5.552270171</v>
      </c>
      <c r="J521">
        <v>2.229827378</v>
      </c>
      <c r="K521" t="s">
        <v>23</v>
      </c>
      <c r="L521" t="str">
        <f t="shared" si="8"/>
        <v>Ringtones &amp; Ringbacks</v>
      </c>
    </row>
    <row r="522" spans="1:13" x14ac:dyDescent="0.3">
      <c r="A522">
        <v>520</v>
      </c>
      <c r="B522">
        <v>520</v>
      </c>
      <c r="C522">
        <v>2024</v>
      </c>
      <c r="D522" t="s">
        <v>25</v>
      </c>
      <c r="F522">
        <v>1054</v>
      </c>
      <c r="G522">
        <v>1.054</v>
      </c>
      <c r="I522">
        <v>1054</v>
      </c>
      <c r="K522" t="s">
        <v>23</v>
      </c>
      <c r="L522" t="str">
        <f t="shared" si="8"/>
        <v>SoundExchange Distributions</v>
      </c>
    </row>
    <row r="523" spans="1:13" x14ac:dyDescent="0.3">
      <c r="A523">
        <v>521</v>
      </c>
      <c r="B523">
        <v>521</v>
      </c>
      <c r="C523">
        <v>2024</v>
      </c>
      <c r="D523" t="s">
        <v>31</v>
      </c>
      <c r="F523">
        <v>412.63272553299998</v>
      </c>
      <c r="G523">
        <v>0.41263272553300001</v>
      </c>
      <c r="I523">
        <v>412.63272553299998</v>
      </c>
      <c r="K523" t="s">
        <v>23</v>
      </c>
      <c r="L523" t="str">
        <f t="shared" si="8"/>
        <v>Synchronization</v>
      </c>
    </row>
    <row r="524" spans="1:13" x14ac:dyDescent="0.3">
      <c r="A524">
        <v>522</v>
      </c>
      <c r="B524">
        <v>522</v>
      </c>
      <c r="C524">
        <v>2024</v>
      </c>
      <c r="D524" t="s">
        <v>15</v>
      </c>
      <c r="E524">
        <v>0.54370700000000005</v>
      </c>
      <c r="F524">
        <v>9.1568232569999992</v>
      </c>
      <c r="G524">
        <v>9.1568232569999904E-3</v>
      </c>
      <c r="H524">
        <v>16.841466556435702</v>
      </c>
      <c r="I524">
        <v>9.1568232569999992</v>
      </c>
      <c r="J524">
        <v>0.54370700000000005</v>
      </c>
      <c r="K524" t="s">
        <v>11</v>
      </c>
      <c r="L524" t="str">
        <f t="shared" si="8"/>
        <v>Vinyl Single</v>
      </c>
    </row>
  </sheetData>
  <autoFilter ref="A1:M524" xr:uid="{CE720172-24F6-4DC6-BB14-A19AB811EC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physica;</vt:lpstr>
      <vt:lpstr>Sheet3</vt:lpstr>
      <vt:lpstr>df_export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Schroeder</dc:creator>
  <cp:lastModifiedBy>Jeremy Schroeder</cp:lastModifiedBy>
  <dcterms:created xsi:type="dcterms:W3CDTF">2026-01-12T17:09:19Z</dcterms:created>
  <dcterms:modified xsi:type="dcterms:W3CDTF">2026-01-12T17:32:25Z</dcterms:modified>
</cp:coreProperties>
</file>